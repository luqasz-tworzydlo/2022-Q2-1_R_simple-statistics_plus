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Studio [projects]\2022-Q2-R-2\Additionally\EXCEL\"/>
    </mc:Choice>
  </mc:AlternateContent>
  <xr:revisionPtr revIDLastSave="0" documentId="13_ncr:1_{55FCE7D7-B0AA-42A9-A3F8-5F8F7F0C443D}" xr6:coauthVersionLast="47" xr6:coauthVersionMax="47" xr10:uidLastSave="{00000000-0000-0000-0000-000000000000}"/>
  <bookViews>
    <workbookView xWindow="-38520" yWindow="-5520" windowWidth="38640" windowHeight="21240" xr2:uid="{25151819-B215-4F44-AF08-50752046F3A4}"/>
  </bookViews>
  <sheets>
    <sheet name="(1-2) 1156k (=Z26=)" sheetId="1" r:id="rId1"/>
    <sheet name="(2-2) 20f (=Z27=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7" i="2" l="1"/>
  <c r="L13" i="2"/>
  <c r="C7" i="2"/>
  <c r="C11" i="2" s="1"/>
  <c r="C9" i="2"/>
  <c r="C10" i="2" s="1"/>
  <c r="C8" i="2"/>
  <c r="N3" i="1"/>
  <c r="M3" i="1"/>
  <c r="L3" i="1"/>
  <c r="K3" i="1"/>
  <c r="K6" i="1"/>
  <c r="C7" i="1"/>
  <c r="C8" i="1"/>
  <c r="C10" i="1"/>
  <c r="C9" i="1"/>
  <c r="D5" i="1"/>
  <c r="D13" i="1" s="1"/>
  <c r="C5" i="1"/>
  <c r="D12" i="1" s="1"/>
  <c r="E4" i="1"/>
  <c r="E3" i="1"/>
  <c r="E5" i="1" s="1"/>
  <c r="H2" i="1"/>
  <c r="F7" i="2" l="1"/>
  <c r="L14" i="2"/>
  <c r="O18" i="2"/>
  <c r="D10" i="1"/>
  <c r="K7" i="1"/>
  <c r="D8" i="1"/>
  <c r="D7" i="1"/>
  <c r="C15" i="1"/>
  <c r="Q2" i="1"/>
  <c r="D9" i="1"/>
  <c r="K5" i="1"/>
  <c r="O8" i="2" l="1"/>
  <c r="I7" i="2"/>
  <c r="J20" i="2"/>
  <c r="D11" i="1"/>
  <c r="N5" i="1" s="1"/>
  <c r="N7" i="1" s="1"/>
</calcChain>
</file>

<file path=xl/sharedStrings.xml><?xml version="1.0" encoding="utf-8"?>
<sst xmlns="http://schemas.openxmlformats.org/spreadsheetml/2006/main" count="83" uniqueCount="77">
  <si>
    <t>Rozkł.Chi.Odwr.</t>
  </si>
  <si>
    <t>Alfa [wartość]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</si>
  <si>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</si>
  <si>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</si>
  <si>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</si>
  <si>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</si>
  <si>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</si>
  <si>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</si>
  <si>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</si>
  <si>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</si>
  <si>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</si>
  <si>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ocena negatywna [ - ]</t>
  </si>
  <si>
    <t>ocena pozytywna [ + ]</t>
  </si>
  <si>
    <t>przypadkowi</t>
  </si>
  <si>
    <t>klienci…</t>
  </si>
  <si>
    <t>stali</t>
  </si>
  <si>
    <t>łącznie</t>
  </si>
  <si>
    <t>łączna ilość [ n ]</t>
  </si>
  <si>
    <t>Mianownik</t>
  </si>
  <si>
    <t>Wyznacznik</t>
  </si>
  <si>
    <t>Licznik</t>
  </si>
  <si>
    <t>nie ma podstaw do odrzucenia hipotezy zerowej [ o równości tych proporcji ] - nie znajdujemy się w obszarze krytycznym</t>
  </si>
  <si>
    <t>p [ pole ] (wartość)</t>
  </si>
  <si>
    <t>chi2 [chi kwadrat]</t>
  </si>
  <si>
    <t>stopnie swobody</t>
  </si>
  <si>
    <t>Wartość 0.359 nie znajduje się w obszarze krytycznym i nie ma podstaw na odrzucenie hipotezy zerową, która mówi o równości proporcji [ częstości ] przejść w C6 i C7. Oznacza to, że różnica między tymi częstościami nie jest statystycznie istotna.</t>
  </si>
  <si>
    <t>Różnica C6 i C7</t>
  </si>
  <si>
    <t>Jeśli jest mniejsza niż 2.5 to nie jest w obszarze krytycznym i nie jest statystycznie istotna.</t>
  </si>
  <si>
    <t>Jeśli jest większa niż 2.5 to jest w obszarze krytycznym i jest statystycznie istotna.</t>
  </si>
  <si>
    <t>W przypadku, gdy różnica jest równa 2.5 to również wartość nie jest statystycznie istotna.</t>
  </si>
  <si>
    <t>2.04pp</t>
  </si>
  <si>
    <t>2.04 punkty procentowe</t>
  </si>
  <si>
    <t>Różnica częstości wynosi 2.04 pp, ale nie jest to różnica istotnie statystyczna.</t>
  </si>
  <si>
    <t>&gt;&gt;&gt;&gt;&gt;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</si>
  <si>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</si>
  <si>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</si>
  <si>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</si>
  <si>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</si>
  <si>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</si>
  <si>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</si>
  <si>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</si>
  <si>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</si>
  <si>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</si>
  <si>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</si>
  <si>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Dane od 1 do 10</t>
  </si>
  <si>
    <t>Dane od 11 do 20</t>
  </si>
  <si>
    <t>Dane od 21 do 20</t>
  </si>
  <si>
    <t>s^2 [wariancja próbki]</t>
  </si>
  <si>
    <t>s [pierwiastek]</t>
  </si>
  <si>
    <t>n [ile liczb]</t>
  </si>
  <si>
    <t>średnia [średnia]</t>
  </si>
  <si>
    <t>df</t>
  </si>
  <si>
    <t>df [ilość stopni swobody]</t>
  </si>
  <si>
    <t xml:space="preserve">t </t>
  </si>
  <si>
    <t>[rozkład t]</t>
  </si>
  <si>
    <t>&lt; test dwustronny&gt;</t>
  </si>
  <si>
    <t>alfa</t>
  </si>
  <si>
    <t>wariant 1 [test dwustronny]</t>
  </si>
  <si>
    <t>&lt; 0%</t>
  </si>
  <si>
    <t>&lt;5%</t>
  </si>
  <si>
    <t>t(df)</t>
  </si>
  <si>
    <t>Exel:</t>
  </si>
  <si>
    <t>wariant 2 [test jednostronny]</t>
  </si>
  <si>
    <t>Obszar krytyczny:</t>
  </si>
  <si>
    <t>Odp.: Nie ma podstaw do odrzucenia hipotezy zerowej.</t>
  </si>
  <si>
    <t>większe od 1.729</t>
  </si>
  <si>
    <t>Odp.: Odrzucamy hipotezę zerową.</t>
  </si>
  <si>
    <t>wariant 3 [test jednostronny]</t>
  </si>
  <si>
    <t>większe od -1.729</t>
  </si>
  <si>
    <t>&lt; test jednostronny &gt;</t>
  </si>
  <si>
    <t>p</t>
  </si>
  <si>
    <t>&lt; 5%</t>
  </si>
  <si>
    <t>p [rozkł.ps]</t>
  </si>
  <si>
    <t>p [rozkł.ds]</t>
  </si>
  <si>
    <t>mean</t>
  </si>
  <si>
    <t>stdev</t>
  </si>
  <si>
    <t>tn-1 = x_bar / s *sqt(n)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</si>
</sst>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2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10" fontId="0" fillId="0" borderId="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0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Border="1" applyAlignment="1">
      <alignment horizontal="right"/>
    </xf>
    <xf numFmtId="10" fontId="0" fillId="4" borderId="0" xfId="1" applyNumberFormat="1" applyFont="1" applyFill="1" applyBorder="1" applyAlignment="1">
      <alignment horizontal="center"/>
    </xf>
    <xf numFmtId="165" fontId="0" fillId="4" borderId="0" xfId="0" applyNumberFormat="1" applyFill="1" applyBorder="1" applyAlignment="1">
      <alignment horizontal="center"/>
    </xf>
    <xf numFmtId="10" fontId="0" fillId="5" borderId="0" xfId="1" applyNumberFormat="1" applyFon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4" borderId="9" xfId="0" applyFill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3" fillId="0" borderId="9" xfId="0" applyFont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0" xfId="0" applyBorder="1" applyAlignment="1"/>
    <xf numFmtId="166" fontId="0" fillId="4" borderId="9" xfId="1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25" xfId="0" applyFont="1" applyBorder="1" applyAlignment="1">
      <alignment wrapText="1"/>
    </xf>
    <xf numFmtId="0" fontId="5" fillId="0" borderId="25" xfId="0" applyFont="1" applyBorder="1" applyAlignment="1">
      <alignment horizontal="right" wrapText="1"/>
    </xf>
    <xf numFmtId="0" fontId="4" fillId="0" borderId="26" xfId="0" applyFont="1" applyBorder="1" applyAlignment="1">
      <alignment wrapText="1"/>
    </xf>
    <xf numFmtId="0" fontId="5" fillId="0" borderId="26" xfId="0" applyFont="1" applyBorder="1" applyAlignment="1">
      <alignment wrapText="1"/>
    </xf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0BF9-D9FF-451D-867F-C9301CED8322}">
  <dimension ref="A1:Y17"/>
  <sheetViews>
    <sheetView tabSelected="1" workbookViewId="0"/>
  </sheetViews>
  <sheetFormatPr defaultRowHeight="14.5" x14ac:dyDescent="0.35"/>
  <cols>
    <col min="2" max="2" width="19.36328125" bestFit="1" customWidth="1"/>
    <col min="3" max="3" width="11.7265625" bestFit="1" customWidth="1"/>
    <col min="4" max="5" width="6.81640625" bestFit="1" customWidth="1"/>
    <col min="7" max="7" width="14.1796875" bestFit="1" customWidth="1"/>
    <col min="8" max="8" width="4.81640625" bestFit="1" customWidth="1"/>
    <col min="9" max="9" width="9.36328125" bestFit="1" customWidth="1"/>
    <col min="10" max="10" width="14.54296875" bestFit="1" customWidth="1"/>
    <col min="11" max="11" width="11.81640625" bestFit="1" customWidth="1"/>
    <col min="13" max="13" width="17" bestFit="1" customWidth="1"/>
    <col min="16" max="16" width="13.36328125" bestFit="1" customWidth="1"/>
    <col min="23" max="23" width="10.6328125" customWidth="1"/>
    <col min="24" max="24" width="11.08984375" customWidth="1"/>
  </cols>
  <sheetData>
    <row r="1" spans="1:25" ht="15" thickTop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x14ac:dyDescent="0.35">
      <c r="A2" s="4"/>
      <c r="B2" s="12" t="s">
        <v>14</v>
      </c>
      <c r="C2" s="12" t="s">
        <v>13</v>
      </c>
      <c r="D2" s="12" t="s">
        <v>15</v>
      </c>
      <c r="E2" s="12" t="s">
        <v>16</v>
      </c>
      <c r="F2" s="5"/>
      <c r="G2" s="12" t="s">
        <v>17</v>
      </c>
      <c r="H2" s="12">
        <f>SUM(C3:D4)</f>
        <v>1156</v>
      </c>
      <c r="I2" s="5"/>
      <c r="J2" s="12" t="s">
        <v>1</v>
      </c>
      <c r="K2" s="12">
        <v>0.05</v>
      </c>
      <c r="L2" s="12">
        <v>0.03</v>
      </c>
      <c r="M2" s="12">
        <v>0.01</v>
      </c>
      <c r="N2" s="12">
        <v>1E-3</v>
      </c>
      <c r="O2" s="5"/>
      <c r="P2" s="12" t="s">
        <v>26</v>
      </c>
      <c r="Q2" s="21">
        <f>D12-D13</f>
        <v>2.0361843179517308E-2</v>
      </c>
      <c r="R2" s="41" t="s">
        <v>30</v>
      </c>
      <c r="S2" s="41"/>
      <c r="T2" s="41" t="s">
        <v>31</v>
      </c>
      <c r="U2" s="41"/>
      <c r="V2" s="41"/>
      <c r="W2" s="41"/>
      <c r="X2" s="5"/>
      <c r="Y2" s="7"/>
    </row>
    <row r="3" spans="1:25" x14ac:dyDescent="0.35">
      <c r="A3" s="4"/>
      <c r="B3" s="12" t="s">
        <v>11</v>
      </c>
      <c r="C3" s="12">
        <v>19</v>
      </c>
      <c r="D3" s="12">
        <v>146</v>
      </c>
      <c r="E3" s="13">
        <f>SUM(C3:D3)</f>
        <v>165</v>
      </c>
      <c r="F3" s="5"/>
      <c r="G3" s="5"/>
      <c r="H3" s="5"/>
      <c r="I3" s="5"/>
      <c r="J3" s="12" t="s">
        <v>0</v>
      </c>
      <c r="K3" s="19">
        <f>_xlfn.CHISQ.INV(1-K2,1)</f>
        <v>3.8414588206941236</v>
      </c>
      <c r="L3" s="19">
        <f>_xlfn.CHISQ.INV(1-L2,1)</f>
        <v>4.7092922468850986</v>
      </c>
      <c r="M3" s="19">
        <f>_xlfn.CHISQ.INV(1-M2,1)</f>
        <v>6.6348966010212118</v>
      </c>
      <c r="N3" s="19">
        <f>_xlfn.CHISQ.INV(1-N2,1)</f>
        <v>10.827566170662733</v>
      </c>
      <c r="O3" s="5"/>
      <c r="P3" s="41" t="s">
        <v>28</v>
      </c>
      <c r="Q3" s="41"/>
      <c r="R3" s="41"/>
      <c r="S3" s="41"/>
      <c r="T3" s="41"/>
      <c r="U3" s="41"/>
      <c r="V3" s="41"/>
      <c r="W3" s="41"/>
      <c r="X3" s="5"/>
      <c r="Y3" s="7"/>
    </row>
    <row r="4" spans="1:25" x14ac:dyDescent="0.35">
      <c r="A4" s="4"/>
      <c r="B4" s="12" t="s">
        <v>12</v>
      </c>
      <c r="C4" s="12">
        <v>99</v>
      </c>
      <c r="D4" s="12">
        <v>892</v>
      </c>
      <c r="E4" s="13">
        <f>SUM(C4:D4)</f>
        <v>991</v>
      </c>
      <c r="F4" s="5"/>
      <c r="G4" s="5"/>
      <c r="H4" s="5"/>
      <c r="I4" s="5"/>
      <c r="J4" s="5"/>
      <c r="K4" s="5"/>
      <c r="L4" s="5"/>
      <c r="M4" s="5"/>
      <c r="N4" s="5"/>
      <c r="O4" s="5"/>
      <c r="P4" s="41" t="s">
        <v>27</v>
      </c>
      <c r="Q4" s="41"/>
      <c r="R4" s="41"/>
      <c r="S4" s="41"/>
      <c r="T4" s="41"/>
      <c r="U4" s="41"/>
      <c r="V4" s="41"/>
      <c r="W4" s="41"/>
      <c r="X4" s="5"/>
      <c r="Y4" s="7"/>
    </row>
    <row r="5" spans="1:25" x14ac:dyDescent="0.35">
      <c r="A5" s="4"/>
      <c r="B5" s="12" t="s">
        <v>16</v>
      </c>
      <c r="C5" s="13">
        <f>SUM(C3:C4)</f>
        <v>118</v>
      </c>
      <c r="D5" s="13">
        <f t="shared" ref="D5:E5" si="0">SUM(D3:D4)</f>
        <v>1038</v>
      </c>
      <c r="E5" s="14">
        <f t="shared" si="0"/>
        <v>1156</v>
      </c>
      <c r="F5" s="5"/>
      <c r="G5" s="5"/>
      <c r="H5" s="5"/>
      <c r="I5" s="5"/>
      <c r="J5" s="12" t="s">
        <v>18</v>
      </c>
      <c r="K5" s="12">
        <f>PRODUCT(C5,D5,E3,E4)</f>
        <v>20027971260</v>
      </c>
      <c r="L5" s="5"/>
      <c r="M5" s="12" t="s">
        <v>23</v>
      </c>
      <c r="N5" s="12">
        <f>D11</f>
        <v>0.35901597434187582</v>
      </c>
      <c r="O5" s="5"/>
      <c r="P5" s="41" t="s">
        <v>29</v>
      </c>
      <c r="Q5" s="41"/>
      <c r="R5" s="41"/>
      <c r="S5" s="41"/>
      <c r="T5" s="41"/>
      <c r="U5" s="41"/>
      <c r="V5" s="41"/>
      <c r="W5" s="41"/>
      <c r="X5" s="5"/>
      <c r="Y5" s="7"/>
    </row>
    <row r="6" spans="1:25" x14ac:dyDescent="0.35">
      <c r="A6" s="4"/>
      <c r="B6" s="5"/>
      <c r="C6" s="5"/>
      <c r="D6" s="5"/>
      <c r="E6" s="5"/>
      <c r="F6" s="5"/>
      <c r="G6" s="5"/>
      <c r="H6" s="5"/>
      <c r="I6" s="5"/>
      <c r="J6" s="12" t="s">
        <v>19</v>
      </c>
      <c r="K6" s="12">
        <f>MDETERM(C3:D4)</f>
        <v>2493.9999999999977</v>
      </c>
      <c r="L6" s="5"/>
      <c r="M6" s="12" t="s">
        <v>24</v>
      </c>
      <c r="N6" s="12">
        <v>1</v>
      </c>
      <c r="O6" s="5"/>
      <c r="P6" s="5"/>
      <c r="Q6" s="5"/>
      <c r="R6" s="5"/>
      <c r="S6" s="5"/>
      <c r="T6" s="5"/>
      <c r="U6" s="5"/>
      <c r="V6" s="5"/>
      <c r="W6" s="5"/>
      <c r="X6" s="5"/>
      <c r="Y6" s="7"/>
    </row>
    <row r="7" spans="1:25" x14ac:dyDescent="0.35">
      <c r="A7" s="4"/>
      <c r="B7" s="15" t="s">
        <v>2</v>
      </c>
      <c r="C7" s="5">
        <f>C3+D3</f>
        <v>165</v>
      </c>
      <c r="D7" s="16">
        <f>C7/E5</f>
        <v>0.14273356401384082</v>
      </c>
      <c r="E7" s="5"/>
      <c r="F7" s="5"/>
      <c r="G7" s="5"/>
      <c r="H7" s="5"/>
      <c r="I7" s="5"/>
      <c r="J7" s="12" t="s">
        <v>20</v>
      </c>
      <c r="K7" s="12">
        <f>H2*K6^2</f>
        <v>7190361615.9999866</v>
      </c>
      <c r="L7" s="5"/>
      <c r="M7" s="12" t="s">
        <v>22</v>
      </c>
      <c r="N7" s="20">
        <f>_xlfn.CHISQ.DIST.RT(N5,N6)</f>
        <v>0.54905324665111033</v>
      </c>
      <c r="O7" s="5"/>
      <c r="P7" s="5"/>
      <c r="Q7" s="5"/>
      <c r="R7" s="5"/>
      <c r="S7" s="5"/>
      <c r="T7" s="5"/>
      <c r="U7" s="5"/>
      <c r="V7" s="5"/>
      <c r="W7" s="5"/>
      <c r="X7" s="5"/>
      <c r="Y7" s="7"/>
    </row>
    <row r="8" spans="1:25" x14ac:dyDescent="0.35">
      <c r="A8" s="4"/>
      <c r="B8" s="15" t="s">
        <v>3</v>
      </c>
      <c r="C8" s="5">
        <f>C4+D4</f>
        <v>991</v>
      </c>
      <c r="D8" s="18">
        <f>C8/E5</f>
        <v>0.85726643598615915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7"/>
    </row>
    <row r="9" spans="1:25" x14ac:dyDescent="0.35">
      <c r="A9" s="4"/>
      <c r="B9" s="15" t="s">
        <v>4</v>
      </c>
      <c r="C9" s="5">
        <f>C3+C4</f>
        <v>118</v>
      </c>
      <c r="D9" s="16">
        <f>C9/E5</f>
        <v>0.10207612456747404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7"/>
    </row>
    <row r="10" spans="1:25" x14ac:dyDescent="0.35">
      <c r="A10" s="4"/>
      <c r="B10" s="15" t="s">
        <v>5</v>
      </c>
      <c r="C10" s="5">
        <f>D3+D4</f>
        <v>1038</v>
      </c>
      <c r="D10" s="18">
        <f>C10/E5</f>
        <v>0.89792387543252594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7"/>
    </row>
    <row r="11" spans="1:25" x14ac:dyDescent="0.35">
      <c r="A11" s="4"/>
      <c r="B11" s="15" t="s">
        <v>6</v>
      </c>
      <c r="C11" s="5"/>
      <c r="D11" s="17">
        <f>K7/K5</f>
        <v>0.35901597434187582</v>
      </c>
      <c r="E11" s="11" t="s">
        <v>33</v>
      </c>
      <c r="F11" s="43" t="s">
        <v>21</v>
      </c>
      <c r="G11" s="43"/>
      <c r="H11" s="43"/>
      <c r="I11" s="43"/>
      <c r="J11" s="43"/>
      <c r="K11" s="43"/>
      <c r="L11" s="43"/>
      <c r="M11" s="43"/>
      <c r="N11" s="43"/>
      <c r="O11" s="43"/>
      <c r="P11" s="5"/>
      <c r="Q11" s="5"/>
      <c r="R11" s="5"/>
      <c r="S11" s="5"/>
      <c r="T11" s="5"/>
      <c r="U11" s="5"/>
      <c r="V11" s="5"/>
      <c r="W11" s="5"/>
      <c r="X11" s="5"/>
      <c r="Y11" s="7"/>
    </row>
    <row r="12" spans="1:25" x14ac:dyDescent="0.35">
      <c r="A12" s="4"/>
      <c r="B12" s="15" t="s">
        <v>7</v>
      </c>
      <c r="C12" s="5"/>
      <c r="D12" s="18">
        <f>C3/C5</f>
        <v>0.16101694915254236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7"/>
    </row>
    <row r="13" spans="1:25" x14ac:dyDescent="0.35">
      <c r="A13" s="4"/>
      <c r="B13" s="15" t="s">
        <v>8</v>
      </c>
      <c r="C13" s="5"/>
      <c r="D13" s="16">
        <f>D3/D5</f>
        <v>0.14065510597302505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7"/>
    </row>
    <row r="14" spans="1:25" x14ac:dyDescent="0.35">
      <c r="A14" s="4"/>
      <c r="B14" s="15" t="s">
        <v>9</v>
      </c>
      <c r="C14" s="5"/>
      <c r="D14" s="42" t="s">
        <v>25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7"/>
    </row>
    <row r="15" spans="1:25" x14ac:dyDescent="0.35">
      <c r="A15" s="4"/>
      <c r="B15" s="15" t="s">
        <v>10</v>
      </c>
      <c r="C15" s="6">
        <f>D12-D13</f>
        <v>2.0361843179517308E-2</v>
      </c>
      <c r="D15" s="43" t="s">
        <v>32</v>
      </c>
      <c r="E15" s="43"/>
      <c r="F15" s="43"/>
      <c r="G15" s="43"/>
      <c r="H15" s="43"/>
      <c r="I15" s="43"/>
      <c r="J15" s="43"/>
      <c r="Y15" s="7"/>
    </row>
    <row r="16" spans="1:25" ht="15" thickBot="1" x14ac:dyDescent="0.4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</row>
    <row r="17" ht="15" thickTop="1" x14ac:dyDescent="0.35"/>
  </sheetData>
  <mergeCells count="8">
    <mergeCell ref="R2:S2"/>
    <mergeCell ref="T2:W2"/>
    <mergeCell ref="D14:X14"/>
    <mergeCell ref="D15:J15"/>
    <mergeCell ref="F11:O11"/>
    <mergeCell ref="P3:W3"/>
    <mergeCell ref="P4:W4"/>
    <mergeCell ref="P5:W5"/>
  </mergeCells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160E-24E3-431E-98A9-16D8B7162BA7}">
  <dimension ref="A1:V35"/>
  <sheetViews>
    <sheetView workbookViewId="0"/>
  </sheetViews>
  <sheetFormatPr defaultRowHeight="14.5" x14ac:dyDescent="0.35"/>
  <cols>
    <col min="1" max="1" width="8.6328125" customWidth="1"/>
    <col min="2" max="2" width="22.6328125" customWidth="1"/>
    <col min="3" max="12" width="12.6328125" customWidth="1"/>
    <col min="13" max="13" width="8.6328125" customWidth="1"/>
    <col min="14" max="14" width="11.6328125" customWidth="1"/>
    <col min="15" max="15" width="12.6328125" customWidth="1"/>
    <col min="16" max="16" width="8.6328125" customWidth="1"/>
  </cols>
  <sheetData>
    <row r="1" spans="1:16" x14ac:dyDescent="0.35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35">
      <c r="A2" s="28"/>
      <c r="B2" s="22"/>
      <c r="C2" s="40" t="s">
        <v>34</v>
      </c>
      <c r="D2" s="40" t="s">
        <v>35</v>
      </c>
      <c r="E2" s="40" t="s">
        <v>36</v>
      </c>
      <c r="F2" s="40" t="s">
        <v>37</v>
      </c>
      <c r="G2" s="40" t="s">
        <v>38</v>
      </c>
      <c r="H2" s="40" t="s">
        <v>39</v>
      </c>
      <c r="I2" s="40" t="s">
        <v>40</v>
      </c>
      <c r="J2" s="40" t="s">
        <v>41</v>
      </c>
      <c r="K2" s="40" t="s">
        <v>42</v>
      </c>
      <c r="L2" s="40" t="s">
        <v>43</v>
      </c>
      <c r="M2" s="5"/>
      <c r="N2" s="5"/>
      <c r="O2" s="5"/>
      <c r="P2" s="29"/>
    </row>
    <row r="3" spans="1:16" x14ac:dyDescent="0.35">
      <c r="A3" s="28"/>
      <c r="B3" s="22" t="s">
        <v>44</v>
      </c>
      <c r="C3" s="23">
        <v>0.3</v>
      </c>
      <c r="D3" s="23">
        <v>2.37</v>
      </c>
      <c r="E3" s="23">
        <v>1.1499999999999999</v>
      </c>
      <c r="F3" s="23">
        <v>0.51</v>
      </c>
      <c r="G3" s="23">
        <v>1.55</v>
      </c>
      <c r="H3" s="23">
        <v>2.2200000000000002</v>
      </c>
      <c r="I3" s="23">
        <v>-0.17</v>
      </c>
      <c r="J3" s="23">
        <v>1.03</v>
      </c>
      <c r="K3" s="23">
        <v>-0.27</v>
      </c>
      <c r="L3" s="23">
        <v>0.84</v>
      </c>
      <c r="M3" s="5"/>
      <c r="N3" s="5"/>
      <c r="O3" s="5"/>
      <c r="P3" s="29"/>
    </row>
    <row r="4" spans="1:16" x14ac:dyDescent="0.35">
      <c r="A4" s="28"/>
      <c r="B4" s="22" t="s">
        <v>45</v>
      </c>
      <c r="C4" s="23">
        <v>0.08</v>
      </c>
      <c r="D4" s="23">
        <v>0.72</v>
      </c>
      <c r="E4" s="23">
        <v>1</v>
      </c>
      <c r="F4" s="23">
        <v>0.79</v>
      </c>
      <c r="G4" s="23">
        <v>0.44</v>
      </c>
      <c r="H4" s="23">
        <v>0.42</v>
      </c>
      <c r="I4" s="23">
        <v>-0.37</v>
      </c>
      <c r="J4" s="23">
        <v>-1.1399999999999999</v>
      </c>
      <c r="K4" s="23">
        <v>-0.14000000000000001</v>
      </c>
      <c r="L4" s="23">
        <v>1.82</v>
      </c>
      <c r="M4" s="5"/>
      <c r="N4" s="5"/>
      <c r="O4" s="5"/>
      <c r="P4" s="29"/>
    </row>
    <row r="5" spans="1:16" x14ac:dyDescent="0.35">
      <c r="A5" s="28"/>
      <c r="B5" s="22" t="s">
        <v>46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5"/>
      <c r="N5" s="5"/>
      <c r="O5" s="5"/>
      <c r="P5" s="29"/>
    </row>
    <row r="6" spans="1:16" x14ac:dyDescent="0.35">
      <c r="A6" s="28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29"/>
    </row>
    <row r="7" spans="1:16" x14ac:dyDescent="0.35">
      <c r="A7" s="28"/>
      <c r="B7" s="34" t="s">
        <v>49</v>
      </c>
      <c r="C7" s="35">
        <f>COUNT(C3:L5)</f>
        <v>20</v>
      </c>
      <c r="D7" s="5"/>
      <c r="E7" s="22" t="s">
        <v>53</v>
      </c>
      <c r="F7" s="20">
        <f>C8/C10*SQRT(C7)</f>
        <v>3.295098870427092</v>
      </c>
      <c r="G7" s="5"/>
      <c r="H7" s="22" t="s">
        <v>54</v>
      </c>
      <c r="I7" s="37">
        <f>TDIST(F7,C11,2)</f>
        <v>3.8071486491469543E-3</v>
      </c>
      <c r="J7" s="38" t="s">
        <v>58</v>
      </c>
      <c r="K7" s="39" t="s">
        <v>59</v>
      </c>
      <c r="L7" s="5"/>
      <c r="N7" s="22" t="s">
        <v>72</v>
      </c>
      <c r="O7" s="22">
        <f>_xlfn.T.DIST.RT(F7,C11)</f>
        <v>1.9035743245734771E-3</v>
      </c>
      <c r="P7" s="29"/>
    </row>
    <row r="8" spans="1:16" x14ac:dyDescent="0.35">
      <c r="A8" s="28"/>
      <c r="B8" s="34" t="s">
        <v>50</v>
      </c>
      <c r="C8" s="35">
        <f>AVERAGE(C3:L5)</f>
        <v>0.65749999999999997</v>
      </c>
      <c r="D8" s="5"/>
      <c r="E8" s="5"/>
      <c r="F8" s="5"/>
      <c r="G8" s="5"/>
      <c r="H8" s="41" t="s">
        <v>55</v>
      </c>
      <c r="I8" s="41"/>
      <c r="J8" s="24"/>
      <c r="K8" s="33"/>
      <c r="L8" s="5"/>
      <c r="N8" s="22" t="s">
        <v>73</v>
      </c>
      <c r="O8" s="22">
        <f>_xlfn.T.DIST.2T(F7,C11)</f>
        <v>3.8071486491469543E-3</v>
      </c>
      <c r="P8" s="29"/>
    </row>
    <row r="9" spans="1:16" x14ac:dyDescent="0.35">
      <c r="A9" s="28"/>
      <c r="B9" s="34" t="s">
        <v>47</v>
      </c>
      <c r="C9" s="35">
        <f>_xlfn.VAR.S(C3:L5)</f>
        <v>0.79631447368421038</v>
      </c>
      <c r="D9" s="5"/>
      <c r="E9" s="5"/>
      <c r="F9" s="5"/>
      <c r="G9" s="5"/>
      <c r="K9" s="5"/>
      <c r="L9" s="5"/>
      <c r="M9" s="5"/>
      <c r="N9" s="5"/>
      <c r="O9" s="5"/>
      <c r="P9" s="29"/>
    </row>
    <row r="10" spans="1:16" x14ac:dyDescent="0.35">
      <c r="A10" s="28"/>
      <c r="B10" s="34" t="s">
        <v>48</v>
      </c>
      <c r="C10" s="35">
        <f>SQRT(C9)</f>
        <v>0.89236454080393091</v>
      </c>
      <c r="D10" s="5"/>
      <c r="E10" s="5"/>
      <c r="F10" s="5"/>
      <c r="G10" s="5"/>
      <c r="K10" s="5"/>
      <c r="L10" s="5"/>
      <c r="M10" s="5"/>
      <c r="N10" s="5"/>
      <c r="O10" s="5"/>
      <c r="P10" s="29"/>
    </row>
    <row r="11" spans="1:16" x14ac:dyDescent="0.35">
      <c r="A11" s="28"/>
      <c r="B11" s="34" t="s">
        <v>52</v>
      </c>
      <c r="C11" s="35">
        <f>C7-1</f>
        <v>19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29"/>
    </row>
    <row r="12" spans="1:16" x14ac:dyDescent="0.35">
      <c r="A12" s="28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29"/>
    </row>
    <row r="13" spans="1:16" x14ac:dyDescent="0.35">
      <c r="A13" s="28"/>
      <c r="B13" s="34" t="s">
        <v>56</v>
      </c>
      <c r="C13" s="35">
        <v>0.05</v>
      </c>
      <c r="D13" s="5"/>
      <c r="E13" s="45" t="s">
        <v>57</v>
      </c>
      <c r="F13" s="45"/>
      <c r="G13" s="48"/>
      <c r="H13" s="22" t="s">
        <v>51</v>
      </c>
      <c r="I13" s="22">
        <v>19</v>
      </c>
      <c r="J13" s="5"/>
      <c r="K13" s="22" t="s">
        <v>61</v>
      </c>
      <c r="L13" s="22">
        <f>TINV(0.05,19)</f>
        <v>2.0930240544083096</v>
      </c>
      <c r="M13" s="5"/>
      <c r="N13" s="5"/>
      <c r="O13" s="5"/>
      <c r="P13" s="29"/>
    </row>
    <row r="14" spans="1:16" x14ac:dyDescent="0.35">
      <c r="A14" s="28"/>
      <c r="B14" s="5"/>
      <c r="C14" s="5"/>
      <c r="D14" s="5"/>
      <c r="E14" s="5"/>
      <c r="F14" s="5"/>
      <c r="G14" s="5"/>
      <c r="H14" s="22" t="s">
        <v>60</v>
      </c>
      <c r="I14" s="22">
        <v>2.093</v>
      </c>
      <c r="J14" s="5"/>
      <c r="K14" s="22"/>
      <c r="L14" s="22">
        <f>_xlfn.T.INV.2T(C13,C11)</f>
        <v>2.0930240544083096</v>
      </c>
      <c r="M14" s="5"/>
      <c r="N14" s="5"/>
      <c r="O14" s="5"/>
      <c r="P14" s="29"/>
    </row>
    <row r="15" spans="1:16" x14ac:dyDescent="0.35">
      <c r="A15" s="2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29"/>
    </row>
    <row r="16" spans="1:16" x14ac:dyDescent="0.35">
      <c r="A16" s="28"/>
      <c r="B16" s="5"/>
      <c r="C16" s="5"/>
      <c r="D16" s="5"/>
      <c r="E16" s="44" t="s">
        <v>64</v>
      </c>
      <c r="F16" s="44"/>
      <c r="G16" s="44"/>
      <c r="H16" s="44"/>
      <c r="I16" s="36"/>
      <c r="J16" s="36"/>
      <c r="K16" s="36"/>
      <c r="L16" s="5"/>
      <c r="M16" s="5"/>
      <c r="N16" s="5"/>
      <c r="O16" s="5"/>
      <c r="P16" s="29"/>
    </row>
    <row r="17" spans="1:22" x14ac:dyDescent="0.35">
      <c r="A17" s="2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29"/>
    </row>
    <row r="18" spans="1:22" x14ac:dyDescent="0.35">
      <c r="A18" s="28"/>
      <c r="B18" s="5"/>
      <c r="C18" s="5"/>
      <c r="D18" s="5"/>
      <c r="E18" s="45" t="s">
        <v>62</v>
      </c>
      <c r="F18" s="45"/>
      <c r="G18" s="45"/>
      <c r="H18" s="22" t="s">
        <v>51</v>
      </c>
      <c r="I18" s="22">
        <v>19</v>
      </c>
      <c r="J18" s="5"/>
      <c r="K18" s="46" t="s">
        <v>63</v>
      </c>
      <c r="L18" s="47"/>
      <c r="M18" s="5"/>
      <c r="N18" s="22" t="s">
        <v>61</v>
      </c>
      <c r="O18" s="22">
        <f>_xlfn.T.INV(0.05,C11)</f>
        <v>-1.7291328115213698</v>
      </c>
      <c r="P18" s="29"/>
    </row>
    <row r="19" spans="1:22" x14ac:dyDescent="0.35">
      <c r="A19" s="28"/>
      <c r="B19" s="5"/>
      <c r="C19" s="5"/>
      <c r="D19" s="5"/>
      <c r="E19" s="5"/>
      <c r="F19" s="5"/>
      <c r="G19" s="5"/>
      <c r="H19" s="22" t="s">
        <v>60</v>
      </c>
      <c r="I19" s="22">
        <v>1.7290000000000001</v>
      </c>
      <c r="J19" s="5"/>
      <c r="K19" s="46" t="s">
        <v>65</v>
      </c>
      <c r="L19" s="47"/>
      <c r="M19" s="5"/>
      <c r="N19" s="5"/>
      <c r="O19" s="5"/>
      <c r="P19" s="29"/>
    </row>
    <row r="20" spans="1:22" x14ac:dyDescent="0.35">
      <c r="A20" s="28"/>
      <c r="B20" s="5"/>
      <c r="C20" s="5"/>
      <c r="D20" s="5"/>
      <c r="E20" s="5"/>
      <c r="F20" s="5"/>
      <c r="G20" s="5"/>
      <c r="H20" s="5"/>
      <c r="I20" s="22" t="s">
        <v>70</v>
      </c>
      <c r="J20" s="22">
        <f>_xlfn.T.DIST.RT(F7,C11)</f>
        <v>1.9035743245734771E-3</v>
      </c>
      <c r="K20" s="39" t="s">
        <v>71</v>
      </c>
      <c r="L20" s="5"/>
      <c r="M20" s="5"/>
      <c r="N20" s="5"/>
      <c r="O20" s="5"/>
      <c r="P20" s="29"/>
    </row>
    <row r="21" spans="1:22" x14ac:dyDescent="0.35">
      <c r="A21" s="28"/>
      <c r="B21" s="5"/>
      <c r="C21" s="5"/>
      <c r="D21" s="5"/>
      <c r="E21" s="44" t="s">
        <v>66</v>
      </c>
      <c r="F21" s="44"/>
      <c r="G21" s="44"/>
      <c r="H21" s="36"/>
      <c r="I21" s="41" t="s">
        <v>69</v>
      </c>
      <c r="J21" s="41"/>
      <c r="K21" s="33"/>
      <c r="L21" s="5"/>
      <c r="M21" s="5"/>
      <c r="N21" s="5"/>
      <c r="O21" s="5"/>
      <c r="P21" s="29"/>
    </row>
    <row r="22" spans="1:22" x14ac:dyDescent="0.35">
      <c r="A22" s="28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29"/>
    </row>
    <row r="23" spans="1:22" x14ac:dyDescent="0.35">
      <c r="A23" s="28"/>
      <c r="B23" s="5"/>
      <c r="C23" s="5"/>
      <c r="D23" s="5"/>
      <c r="E23" s="45" t="s">
        <v>67</v>
      </c>
      <c r="F23" s="45"/>
      <c r="G23" s="45"/>
      <c r="H23" s="46" t="s">
        <v>63</v>
      </c>
      <c r="I23" s="47"/>
      <c r="J23" s="5"/>
      <c r="K23" s="5"/>
      <c r="L23" s="5"/>
      <c r="M23" s="5"/>
      <c r="N23" s="5"/>
      <c r="O23" s="5"/>
      <c r="P23" s="29"/>
    </row>
    <row r="24" spans="1:22" x14ac:dyDescent="0.35">
      <c r="A24" s="28"/>
      <c r="B24" s="5"/>
      <c r="C24" s="5"/>
      <c r="D24" s="5"/>
      <c r="E24" s="5"/>
      <c r="F24" s="5"/>
      <c r="G24" s="5"/>
      <c r="H24" s="46" t="s">
        <v>68</v>
      </c>
      <c r="I24" s="47"/>
      <c r="J24" s="5"/>
      <c r="K24" s="5"/>
      <c r="L24" s="5"/>
      <c r="M24" s="5"/>
      <c r="N24" s="5"/>
      <c r="O24" s="5"/>
      <c r="P24" s="29"/>
    </row>
    <row r="25" spans="1:22" x14ac:dyDescent="0.35">
      <c r="A25" s="28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9"/>
    </row>
    <row r="26" spans="1:22" x14ac:dyDescent="0.35">
      <c r="A26" s="28"/>
      <c r="B26" s="5"/>
      <c r="C26" s="5"/>
      <c r="D26" s="5"/>
      <c r="E26" s="44" t="s">
        <v>64</v>
      </c>
      <c r="F26" s="44"/>
      <c r="G26" s="44"/>
      <c r="H26" s="44"/>
      <c r="I26" s="36"/>
      <c r="J26" s="36"/>
      <c r="K26" s="36"/>
      <c r="L26" s="5"/>
      <c r="M26" s="5"/>
      <c r="N26" s="5"/>
      <c r="O26" s="5"/>
      <c r="P26" s="29"/>
    </row>
    <row r="27" spans="1:22" ht="15" thickBot="1" x14ac:dyDescent="0.4">
      <c r="A27" s="28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29"/>
    </row>
    <row r="28" spans="1:22" ht="15" thickBot="1" x14ac:dyDescent="0.4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7"/>
    </row>
    <row r="29" spans="1:22" ht="16" thickBot="1" x14ac:dyDescent="0.4">
      <c r="A29" s="51"/>
      <c r="B29" s="50">
        <v>1</v>
      </c>
      <c r="C29" s="50">
        <v>2</v>
      </c>
      <c r="D29" s="50">
        <v>3</v>
      </c>
      <c r="E29" s="50">
        <v>4</v>
      </c>
      <c r="F29" s="50">
        <v>5</v>
      </c>
      <c r="G29" s="50">
        <v>6</v>
      </c>
      <c r="H29" s="50">
        <v>7</v>
      </c>
      <c r="I29" s="50">
        <v>8</v>
      </c>
      <c r="J29" s="50">
        <v>9</v>
      </c>
      <c r="K29" s="50">
        <v>10</v>
      </c>
      <c r="L29" s="50">
        <v>11</v>
      </c>
      <c r="M29" s="50">
        <v>12</v>
      </c>
      <c r="N29" s="50">
        <v>13</v>
      </c>
      <c r="O29" s="50">
        <v>14</v>
      </c>
      <c r="P29" s="50">
        <v>15</v>
      </c>
      <c r="Q29" s="50">
        <v>16</v>
      </c>
      <c r="R29" s="50">
        <v>17</v>
      </c>
      <c r="S29" s="50">
        <v>18</v>
      </c>
      <c r="T29" s="50">
        <v>19</v>
      </c>
      <c r="U29" s="50">
        <v>20</v>
      </c>
      <c r="V29" s="29"/>
    </row>
    <row r="30" spans="1:22" ht="16" thickBot="1" x14ac:dyDescent="0.4">
      <c r="A30" s="51"/>
      <c r="B30" s="50">
        <v>0.3</v>
      </c>
      <c r="C30" s="50">
        <v>2.37</v>
      </c>
      <c r="D30" s="50">
        <v>1.1499999999999999</v>
      </c>
      <c r="E30" s="50">
        <v>0.51</v>
      </c>
      <c r="F30" s="50">
        <v>1.55</v>
      </c>
      <c r="G30" s="50">
        <v>2.2200000000000002</v>
      </c>
      <c r="H30" s="50">
        <v>-0.17</v>
      </c>
      <c r="I30" s="50">
        <v>1.03</v>
      </c>
      <c r="J30" s="50">
        <v>-0.27</v>
      </c>
      <c r="K30" s="50">
        <v>0.84</v>
      </c>
      <c r="L30" s="50">
        <v>0.08</v>
      </c>
      <c r="M30" s="50">
        <v>0.72</v>
      </c>
      <c r="N30" s="50">
        <v>1</v>
      </c>
      <c r="O30" s="50">
        <v>0.79</v>
      </c>
      <c r="P30" s="50">
        <v>0.44</v>
      </c>
      <c r="Q30" s="50">
        <v>0.42</v>
      </c>
      <c r="R30" s="50">
        <v>-0.37</v>
      </c>
      <c r="S30" s="50">
        <v>-1.1399999999999999</v>
      </c>
      <c r="T30" s="50">
        <v>-0.14000000000000001</v>
      </c>
      <c r="U30" s="50">
        <v>1.82</v>
      </c>
      <c r="V30" s="29"/>
    </row>
    <row r="31" spans="1:22" ht="15" thickBot="1" x14ac:dyDescent="0.4">
      <c r="A31" s="51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29"/>
    </row>
    <row r="32" spans="1:22" ht="16" thickBot="1" x14ac:dyDescent="0.4">
      <c r="A32" s="52" t="s">
        <v>74</v>
      </c>
      <c r="B32" s="50">
        <v>0.65749999999999997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29"/>
    </row>
    <row r="33" spans="1:22" ht="16" thickBot="1" x14ac:dyDescent="0.4">
      <c r="A33" s="52" t="s">
        <v>75</v>
      </c>
      <c r="B33" s="50">
        <v>0.89236453999999998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29"/>
    </row>
    <row r="34" spans="1:22" ht="47" thickBot="1" x14ac:dyDescent="0.4">
      <c r="A34" s="52" t="s">
        <v>76</v>
      </c>
      <c r="B34" s="50">
        <v>3.2950988699999999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29"/>
    </row>
    <row r="35" spans="1:22" ht="15" thickBot="1" x14ac:dyDescent="0.4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2"/>
    </row>
  </sheetData>
  <mergeCells count="12">
    <mergeCell ref="H8:I8"/>
    <mergeCell ref="E13:G13"/>
    <mergeCell ref="E18:G18"/>
    <mergeCell ref="K19:L19"/>
    <mergeCell ref="K18:L18"/>
    <mergeCell ref="E16:H16"/>
    <mergeCell ref="E26:H26"/>
    <mergeCell ref="I21:J21"/>
    <mergeCell ref="E21:G21"/>
    <mergeCell ref="E23:G23"/>
    <mergeCell ref="H23:I23"/>
    <mergeCell ref="H24:I24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(1-2) 1156k (=Z26=)</vt:lpstr>
      <vt:lpstr>(2-2) 20f (=Z27=)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Tworzydło</dc:creator>
  <cp:lastModifiedBy>Łukasz Tworzydło</cp:lastModifiedBy>
  <dcterms:created xsi:type="dcterms:W3CDTF">2022-05-17T20:51:13Z</dcterms:created>
  <dcterms:modified xsi:type="dcterms:W3CDTF">2022-05-18T14:56:44Z</dcterms:modified>
</cp:coreProperties>
</file>