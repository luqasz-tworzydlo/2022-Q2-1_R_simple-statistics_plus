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Łukasz Tworzydło\Downloads\"/>
    </mc:Choice>
  </mc:AlternateContent>
  <xr:revisionPtr revIDLastSave="0" documentId="13_ncr:1_{5B7F9C84-26FE-4A79-9E53-3C3562DC3671}" xr6:coauthVersionLast="47" xr6:coauthVersionMax="47" xr10:uidLastSave="{00000000-0000-0000-0000-000000000000}"/>
  <bookViews>
    <workbookView xWindow="-38520" yWindow="-5520" windowWidth="38640" windowHeight="21240" activeTab="1" xr2:uid="{98BE0B0F-01C2-4BE7-95BA-3326541EFC4C}"/>
  </bookViews>
  <sheets>
    <sheet name="Arkusz1" sheetId="1" r:id="rId1"/>
    <sheet name="Arkusz2" sheetId="2" r:id="rId2"/>
  </sheets>
  <definedNames>
    <definedName name="_xlnm._FilterDatabase" localSheetId="0" hidden="1">Arkusz1!$K$4:$K$8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2" i="2" l="1"/>
  <c r="K51" i="2"/>
  <c r="K49" i="2"/>
  <c r="R41" i="2"/>
  <c r="Q41" i="2"/>
  <c r="F59" i="2" s="1"/>
  <c r="K9" i="2"/>
  <c r="K8" i="2"/>
  <c r="K7" i="2"/>
  <c r="K6" i="2"/>
  <c r="K5" i="2"/>
  <c r="K4" i="2"/>
  <c r="K3" i="2"/>
  <c r="J4" i="2"/>
  <c r="J5" i="2"/>
  <c r="J6" i="2"/>
  <c r="J7" i="2"/>
  <c r="J8" i="2"/>
  <c r="J9" i="2"/>
  <c r="J3" i="2"/>
  <c r="D12" i="2" s="1"/>
  <c r="D11" i="2"/>
  <c r="R11" i="1"/>
  <c r="R9" i="1"/>
  <c r="R5" i="1"/>
  <c r="R6" i="1"/>
  <c r="R7" i="1"/>
  <c r="R8" i="1"/>
  <c r="R4" i="1"/>
  <c r="Q5" i="1"/>
  <c r="Q6" i="1"/>
  <c r="Q7" i="1"/>
  <c r="Q8" i="1"/>
  <c r="Q4" i="1"/>
  <c r="P10" i="1"/>
  <c r="F16" i="1"/>
  <c r="P5" i="1"/>
  <c r="P6" i="1"/>
  <c r="P7" i="1"/>
  <c r="P8" i="1"/>
  <c r="P4" i="1"/>
  <c r="O5" i="1"/>
  <c r="O6" i="1"/>
  <c r="O7" i="1"/>
  <c r="O8" i="1"/>
  <c r="O4" i="1"/>
  <c r="F15" i="1"/>
  <c r="H14" i="1"/>
  <c r="H13" i="1"/>
  <c r="H9" i="1"/>
  <c r="H5" i="1"/>
  <c r="H6" i="1"/>
  <c r="H7" i="1"/>
  <c r="H8" i="1"/>
  <c r="H4" i="1"/>
  <c r="G12" i="1"/>
  <c r="F12" i="1"/>
  <c r="G11" i="1"/>
  <c r="F11" i="1"/>
  <c r="G10" i="1"/>
  <c r="F10" i="1"/>
  <c r="G5" i="1"/>
  <c r="G6" i="1"/>
  <c r="G7" i="1"/>
  <c r="G8" i="1"/>
  <c r="G4" i="1"/>
  <c r="C9" i="1"/>
  <c r="C10" i="1" s="1"/>
  <c r="B9" i="1"/>
  <c r="B10" i="1" s="1"/>
  <c r="D4" i="1" l="1"/>
  <c r="F4" i="1" s="1"/>
  <c r="D5" i="1"/>
  <c r="F5" i="1" s="1"/>
  <c r="D7" i="1"/>
  <c r="F7" i="1" s="1"/>
  <c r="D6" i="1"/>
  <c r="F6" i="1" s="1"/>
  <c r="D8" i="1"/>
  <c r="F8" i="1" s="1"/>
  <c r="E7" i="1"/>
  <c r="E6" i="1"/>
  <c r="E8" i="1"/>
  <c r="E4" i="1"/>
  <c r="E5" i="1"/>
</calcChain>
</file>

<file path=xl/sharedStrings.xml><?xml version="1.0" encoding="utf-8"?>
<sst xmlns="http://schemas.openxmlformats.org/spreadsheetml/2006/main" count="115" uniqueCount="47">
  <si>
    <t>x</t>
  </si>
  <si>
    <t>y</t>
  </si>
  <si>
    <t>x - średnia</t>
  </si>
  <si>
    <t>y - średnia</t>
  </si>
  <si>
    <t>n</t>
  </si>
  <si>
    <t>suma</t>
  </si>
  <si>
    <t>średnia</t>
  </si>
  <si>
    <t>y^2</t>
  </si>
  <si>
    <t>^2</t>
  </si>
  <si>
    <t>suma_kw</t>
  </si>
  <si>
    <t>wariancja</t>
  </si>
  <si>
    <t>Exel</t>
  </si>
  <si>
    <t>iloczyn</t>
  </si>
  <si>
    <t>suma_ilocz</t>
  </si>
  <si>
    <t>kowariancja</t>
  </si>
  <si>
    <t>r</t>
  </si>
  <si>
    <t>x sort</t>
  </si>
  <si>
    <t>y sort</t>
  </si>
  <si>
    <t>ranga sort x</t>
  </si>
  <si>
    <t>ranga sort y</t>
  </si>
  <si>
    <t>ranga x</t>
  </si>
  <si>
    <t>ranga y</t>
  </si>
  <si>
    <t>di</t>
  </si>
  <si>
    <t>di^2</t>
  </si>
  <si>
    <t>wzór z W</t>
  </si>
  <si>
    <t>sort x</t>
  </si>
  <si>
    <t>sort y</t>
  </si>
  <si>
    <t>R_S</t>
  </si>
  <si>
    <t>numer pary</t>
  </si>
  <si>
    <t>przed sortowaniem</t>
  </si>
  <si>
    <t>po sortowaniu</t>
  </si>
  <si>
    <t>X</t>
  </si>
  <si>
    <t>C</t>
  </si>
  <si>
    <t>D</t>
  </si>
  <si>
    <t>ile C</t>
  </si>
  <si>
    <t>ile D</t>
  </si>
  <si>
    <t>n0</t>
  </si>
  <si>
    <t>n1</t>
  </si>
  <si>
    <t>n2</t>
  </si>
  <si>
    <t>Kendall</t>
  </si>
  <si>
    <t>7 par po 2</t>
  </si>
  <si>
    <t>7 * 6/2</t>
  </si>
  <si>
    <t>ilość par</t>
  </si>
  <si>
    <t>sort x =&gt; 4 remisy</t>
  </si>
  <si>
    <t>sort y =&gt; 2 remisy</t>
  </si>
  <si>
    <t>n1 par</t>
  </si>
  <si>
    <t>n2 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</si>
</sst>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65" fontId="0" fillId="2" borderId="0" xfId="0" applyNumberFormat="1" applyFill="1"/>
    <xf numFmtId="165" fontId="0" fillId="2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0F0-76AC-425D-927E-79B063BEA6BF}">
  <dimension ref="A2:R17"/>
  <sheetViews>
    <sheetView workbookViewId="0">
      <selection activeCell="A2" sqref="A2"/>
    </sheetView>
  </sheetViews>
  <sheetFormatPr defaultRowHeight="14.5" x14ac:dyDescent="0.35"/>
  <cols>
    <col min="1" max="1" width="7.1796875" bestFit="1" customWidth="1"/>
    <col min="2" max="3" width="4.81640625" bestFit="1" customWidth="1"/>
    <col min="4" max="4" width="9.6328125" bestFit="1" customWidth="1"/>
    <col min="5" max="5" width="11" bestFit="1" customWidth="1"/>
    <col min="6" max="6" width="5.36328125" bestFit="1" customWidth="1"/>
    <col min="7" max="7" width="10.1796875" bestFit="1" customWidth="1"/>
    <col min="8" max="8" width="6.81640625" bestFit="1" customWidth="1"/>
    <col min="11" max="12" width="5.54296875" customWidth="1"/>
    <col min="13" max="14" width="10.6328125" bestFit="1" customWidth="1"/>
    <col min="17" max="17" width="8.81640625" bestFit="1" customWidth="1"/>
    <col min="18" max="18" width="5.36328125" bestFit="1" customWidth="1"/>
  </cols>
  <sheetData>
    <row r="2" spans="1:18" x14ac:dyDescent="0.35">
      <c r="A2" s="1" t="s">
        <v>4</v>
      </c>
      <c r="B2" s="1">
        <v>5</v>
      </c>
      <c r="C2" s="1">
        <v>5</v>
      </c>
    </row>
    <row r="3" spans="1:18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8</v>
      </c>
      <c r="G3" s="1" t="s">
        <v>7</v>
      </c>
      <c r="H3" s="1" t="s">
        <v>12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  <c r="R3" s="1" t="s">
        <v>23</v>
      </c>
    </row>
    <row r="4" spans="1:18" x14ac:dyDescent="0.35">
      <c r="B4" s="1">
        <v>17</v>
      </c>
      <c r="C4" s="1">
        <v>28</v>
      </c>
      <c r="D4" s="1">
        <f>B4-$B$10</f>
        <v>-1.3999999999999986</v>
      </c>
      <c r="E4" s="1">
        <f>C4-$C$10</f>
        <v>-0.39999999999999858</v>
      </c>
      <c r="F4" s="1">
        <f>D4^2</f>
        <v>1.959999999999996</v>
      </c>
      <c r="G4" s="1">
        <f>E4^2</f>
        <v>0.15999999999999887</v>
      </c>
      <c r="H4">
        <f>D4*E4</f>
        <v>0.55999999999999739</v>
      </c>
      <c r="K4" s="1">
        <v>17</v>
      </c>
      <c r="L4" s="1">
        <v>27</v>
      </c>
      <c r="M4" s="1">
        <v>1</v>
      </c>
      <c r="N4" s="1">
        <v>1</v>
      </c>
      <c r="O4">
        <f>VLOOKUP(B4,$K$13:$L$17,2,0)</f>
        <v>1</v>
      </c>
      <c r="P4">
        <f>VLOOKUP(C4,$N$13:$O$17,2,0)</f>
        <v>2.5</v>
      </c>
      <c r="Q4">
        <f>O4-P4</f>
        <v>-1.5</v>
      </c>
      <c r="R4">
        <f>Q4^2</f>
        <v>2.25</v>
      </c>
    </row>
    <row r="5" spans="1:18" x14ac:dyDescent="0.35">
      <c r="B5" s="1">
        <v>19</v>
      </c>
      <c r="C5" s="1">
        <v>30</v>
      </c>
      <c r="D5" s="1">
        <f t="shared" ref="D5:D8" si="0">B5-$B$10</f>
        <v>0.60000000000000142</v>
      </c>
      <c r="E5" s="1">
        <f t="shared" ref="E5:E8" si="1">C5-$C$10</f>
        <v>1.6000000000000014</v>
      </c>
      <c r="F5" s="1">
        <f t="shared" ref="F5:F8" si="2">D5^2</f>
        <v>0.36000000000000171</v>
      </c>
      <c r="G5" s="1">
        <f t="shared" ref="G5:G8" si="3">E5^2</f>
        <v>2.5600000000000045</v>
      </c>
      <c r="H5">
        <f t="shared" ref="H5:H8" si="4">D5*E5</f>
        <v>0.96000000000000307</v>
      </c>
      <c r="K5" s="1">
        <v>18</v>
      </c>
      <c r="L5" s="1">
        <v>28</v>
      </c>
      <c r="M5" s="1">
        <v>2.5</v>
      </c>
      <c r="N5" s="1">
        <v>2.5</v>
      </c>
      <c r="O5">
        <f t="shared" ref="O5:O8" si="5">VLOOKUP(B5,$K$13:$L$17,2,0)</f>
        <v>4</v>
      </c>
      <c r="P5">
        <f t="shared" ref="P5:P8" si="6">VLOOKUP(C5,$N$13:$O$17,2,0)</f>
        <v>5</v>
      </c>
      <c r="Q5">
        <f t="shared" ref="Q5:Q8" si="7">O5-P5</f>
        <v>-1</v>
      </c>
      <c r="R5">
        <f t="shared" ref="R5:R8" si="8">Q5^2</f>
        <v>1</v>
      </c>
    </row>
    <row r="6" spans="1:18" x14ac:dyDescent="0.35">
      <c r="B6" s="1">
        <v>18</v>
      </c>
      <c r="C6" s="1">
        <v>27</v>
      </c>
      <c r="D6" s="1">
        <f t="shared" si="0"/>
        <v>-0.39999999999999858</v>
      </c>
      <c r="E6" s="1">
        <f t="shared" si="1"/>
        <v>-1.3999999999999986</v>
      </c>
      <c r="F6" s="1">
        <f t="shared" si="2"/>
        <v>0.15999999999999887</v>
      </c>
      <c r="G6" s="1">
        <f t="shared" si="3"/>
        <v>1.959999999999996</v>
      </c>
      <c r="H6">
        <f t="shared" si="4"/>
        <v>0.55999999999999739</v>
      </c>
      <c r="K6" s="1">
        <v>18</v>
      </c>
      <c r="L6" s="1">
        <v>28</v>
      </c>
      <c r="M6" s="1">
        <v>2.5</v>
      </c>
      <c r="N6" s="1">
        <v>2.5</v>
      </c>
      <c r="O6">
        <f t="shared" si="5"/>
        <v>2.5</v>
      </c>
      <c r="P6">
        <f t="shared" si="6"/>
        <v>1</v>
      </c>
      <c r="Q6">
        <f t="shared" si="7"/>
        <v>1.5</v>
      </c>
      <c r="R6">
        <f t="shared" si="8"/>
        <v>2.25</v>
      </c>
    </row>
    <row r="7" spans="1:18" x14ac:dyDescent="0.35">
      <c r="B7" s="1">
        <v>20</v>
      </c>
      <c r="C7" s="1">
        <v>29</v>
      </c>
      <c r="D7" s="1">
        <f t="shared" si="0"/>
        <v>1.6000000000000014</v>
      </c>
      <c r="E7" s="1">
        <f t="shared" si="1"/>
        <v>0.60000000000000142</v>
      </c>
      <c r="F7" s="1">
        <f t="shared" si="2"/>
        <v>2.5600000000000045</v>
      </c>
      <c r="G7" s="1">
        <f t="shared" si="3"/>
        <v>0.36000000000000171</v>
      </c>
      <c r="H7">
        <f t="shared" si="4"/>
        <v>0.96000000000000307</v>
      </c>
      <c r="K7" s="1">
        <v>19</v>
      </c>
      <c r="L7" s="1">
        <v>29</v>
      </c>
      <c r="M7" s="1">
        <v>4</v>
      </c>
      <c r="N7" s="1">
        <v>4</v>
      </c>
      <c r="O7">
        <f t="shared" si="5"/>
        <v>5</v>
      </c>
      <c r="P7">
        <f t="shared" si="6"/>
        <v>4</v>
      </c>
      <c r="Q7">
        <f t="shared" si="7"/>
        <v>1</v>
      </c>
      <c r="R7">
        <f t="shared" si="8"/>
        <v>1</v>
      </c>
    </row>
    <row r="8" spans="1:18" x14ac:dyDescent="0.35">
      <c r="B8" s="1">
        <v>18</v>
      </c>
      <c r="C8" s="1">
        <v>28</v>
      </c>
      <c r="D8" s="1">
        <f t="shared" si="0"/>
        <v>-0.39999999999999858</v>
      </c>
      <c r="E8" s="1">
        <f t="shared" si="1"/>
        <v>-0.39999999999999858</v>
      </c>
      <c r="F8" s="1">
        <f t="shared" si="2"/>
        <v>0.15999999999999887</v>
      </c>
      <c r="G8" s="1">
        <f t="shared" si="3"/>
        <v>0.15999999999999887</v>
      </c>
      <c r="H8">
        <f t="shared" si="4"/>
        <v>0.15999999999999887</v>
      </c>
      <c r="K8" s="1">
        <v>20</v>
      </c>
      <c r="L8" s="1">
        <v>30</v>
      </c>
      <c r="M8" s="1">
        <v>5</v>
      </c>
      <c r="N8" s="1">
        <v>5</v>
      </c>
      <c r="O8">
        <f t="shared" si="5"/>
        <v>2.5</v>
      </c>
      <c r="P8">
        <f t="shared" si="6"/>
        <v>2.5</v>
      </c>
      <c r="Q8">
        <f t="shared" si="7"/>
        <v>0</v>
      </c>
      <c r="R8">
        <f t="shared" si="8"/>
        <v>0</v>
      </c>
    </row>
    <row r="9" spans="1:18" x14ac:dyDescent="0.35">
      <c r="A9" s="1" t="s">
        <v>5</v>
      </c>
      <c r="B9" s="1">
        <f>SUM(B4:B8)</f>
        <v>92</v>
      </c>
      <c r="C9" s="1">
        <f>SUM(C4:C8)</f>
        <v>142</v>
      </c>
      <c r="G9" t="s">
        <v>13</v>
      </c>
      <c r="H9">
        <f>SUM(H4:H8)</f>
        <v>3.1999999999999997</v>
      </c>
      <c r="Q9" t="s">
        <v>9</v>
      </c>
      <c r="R9">
        <f>SUM(R4:R8)</f>
        <v>6.5</v>
      </c>
    </row>
    <row r="10" spans="1:18" x14ac:dyDescent="0.35">
      <c r="A10" s="1" t="s">
        <v>6</v>
      </c>
      <c r="B10" s="1">
        <f>B9/B2</f>
        <v>18.399999999999999</v>
      </c>
      <c r="C10" s="1">
        <f>C9/C2</f>
        <v>28.4</v>
      </c>
      <c r="E10" s="1" t="s">
        <v>9</v>
      </c>
      <c r="F10" s="1">
        <f>SUM(F4:F8)</f>
        <v>5.2</v>
      </c>
      <c r="G10" s="1">
        <f>SUM(G4:G8)</f>
        <v>5.2000000000000011</v>
      </c>
      <c r="N10" t="s">
        <v>11</v>
      </c>
      <c r="O10" t="s">
        <v>15</v>
      </c>
      <c r="P10" s="3">
        <f>CORREL(O4:O8,P4:P8)</f>
        <v>0.65789473684210531</v>
      </c>
    </row>
    <row r="11" spans="1:18" x14ac:dyDescent="0.35">
      <c r="E11" s="1" t="s">
        <v>10</v>
      </c>
      <c r="F11" s="1">
        <f>F10/(B2-1)</f>
        <v>1.3</v>
      </c>
      <c r="G11" s="1">
        <f>G10/(C2-1)</f>
        <v>1.3000000000000003</v>
      </c>
      <c r="Q11" t="s">
        <v>24</v>
      </c>
      <c r="R11" s="3">
        <f>1-(6*R9)/(B2*(B2^2-1))</f>
        <v>0.67500000000000004</v>
      </c>
    </row>
    <row r="12" spans="1:18" x14ac:dyDescent="0.35">
      <c r="E12" s="1" t="s">
        <v>11</v>
      </c>
      <c r="F12" s="1">
        <f>_xlfn.VAR.S(B4:B8)</f>
        <v>1.3</v>
      </c>
      <c r="G12" s="1">
        <f>_xlfn.VAR.S(C4:C8)</f>
        <v>1.3000000000000003</v>
      </c>
    </row>
    <row r="13" spans="1:18" x14ac:dyDescent="0.35">
      <c r="E13" s="1" t="s">
        <v>14</v>
      </c>
      <c r="H13" s="1">
        <f>H9/(B2-1)</f>
        <v>0.79999999999999993</v>
      </c>
      <c r="K13" s="1">
        <v>17</v>
      </c>
      <c r="L13" s="1">
        <v>1</v>
      </c>
      <c r="N13" s="1">
        <v>27</v>
      </c>
      <c r="O13" s="1">
        <v>1</v>
      </c>
    </row>
    <row r="14" spans="1:18" x14ac:dyDescent="0.35">
      <c r="E14" s="1" t="s">
        <v>11</v>
      </c>
      <c r="H14" s="1">
        <f>_xlfn.COVARIANCE.S(B4:B8,C4:C8)</f>
        <v>0.79999999999999993</v>
      </c>
      <c r="K14" s="1">
        <v>18</v>
      </c>
      <c r="L14" s="1">
        <v>2.5</v>
      </c>
      <c r="N14" s="1">
        <v>28</v>
      </c>
      <c r="O14" s="1">
        <v>2.5</v>
      </c>
    </row>
    <row r="15" spans="1:18" x14ac:dyDescent="0.35">
      <c r="E15" s="1" t="s">
        <v>15</v>
      </c>
      <c r="F15" s="3">
        <f>(H13)/(SQRT(F11*G11))</f>
        <v>0.61538461538461531</v>
      </c>
      <c r="K15" s="1">
        <v>18</v>
      </c>
      <c r="L15" s="1">
        <v>2.5</v>
      </c>
      <c r="N15" s="1">
        <v>28</v>
      </c>
      <c r="O15" s="1">
        <v>2.5</v>
      </c>
    </row>
    <row r="16" spans="1:18" x14ac:dyDescent="0.35">
      <c r="E16" s="1" t="s">
        <v>11</v>
      </c>
      <c r="F16" s="3">
        <f>CORREL(B4:B8,C4:C8)</f>
        <v>0.61538461538461531</v>
      </c>
      <c r="K16" s="1">
        <v>19</v>
      </c>
      <c r="L16" s="1">
        <v>4</v>
      </c>
      <c r="N16" s="1">
        <v>29</v>
      </c>
      <c r="O16" s="1">
        <v>4</v>
      </c>
    </row>
    <row r="17" spans="11:15" x14ac:dyDescent="0.35">
      <c r="K17" s="1">
        <v>20</v>
      </c>
      <c r="L17" s="1">
        <v>5</v>
      </c>
      <c r="N17" s="1">
        <v>30</v>
      </c>
      <c r="O17" s="1">
        <v>5</v>
      </c>
    </row>
  </sheetData>
  <sortState xmlns:xlrd2="http://schemas.microsoft.com/office/spreadsheetml/2017/richdata2" ref="L5:L8">
    <sortCondition ref="L5:L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BC87-1A88-475C-B2F2-EBD3DE97F847}">
  <dimension ref="B2:R59"/>
  <sheetViews>
    <sheetView tabSelected="1" topLeftCell="A4" workbookViewId="0">
      <selection activeCell="O17" sqref="O17"/>
    </sheetView>
  </sheetViews>
  <sheetFormatPr defaultRowHeight="14.5" x14ac:dyDescent="0.35"/>
  <cols>
    <col min="2" max="2" width="4.453125" bestFit="1" customWidth="1"/>
    <col min="3" max="3" width="3.90625" bestFit="1" customWidth="1"/>
    <col min="4" max="4" width="6" bestFit="1" customWidth="1"/>
    <col min="5" max="5" width="17.54296875" customWidth="1"/>
    <col min="6" max="6" width="12.453125" bestFit="1" customWidth="1"/>
    <col min="7" max="7" width="5.54296875" bestFit="1" customWidth="1"/>
    <col min="8" max="8" width="10.6328125" bestFit="1" customWidth="1"/>
    <col min="9" max="9" width="13.1796875" bestFit="1" customWidth="1"/>
    <col min="10" max="10" width="7.90625" bestFit="1" customWidth="1"/>
    <col min="11" max="11" width="10.6328125" bestFit="1" customWidth="1"/>
    <col min="13" max="13" width="5.54296875" bestFit="1" customWidth="1"/>
    <col min="14" max="14" width="10.6328125" bestFit="1" customWidth="1"/>
  </cols>
  <sheetData>
    <row r="2" spans="2:14" x14ac:dyDescent="0.35">
      <c r="B2" s="1" t="s">
        <v>0</v>
      </c>
      <c r="C2" s="1" t="s">
        <v>1</v>
      </c>
      <c r="F2" s="1" t="s">
        <v>25</v>
      </c>
      <c r="G2" s="1" t="s">
        <v>26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2:14" x14ac:dyDescent="0.35">
      <c r="B3" s="1">
        <v>14</v>
      </c>
      <c r="C3" s="1">
        <v>44</v>
      </c>
      <c r="F3" s="1">
        <v>7</v>
      </c>
      <c r="G3" s="1">
        <v>38</v>
      </c>
      <c r="H3" s="1">
        <v>1</v>
      </c>
      <c r="I3" s="1">
        <v>1</v>
      </c>
      <c r="J3" s="1">
        <f>VLOOKUP(B3,$J$12:$K$18,2,0)</f>
        <v>4.5</v>
      </c>
      <c r="K3" s="1">
        <f>VLOOKUP(C3,$M$12:$N$18,2,0)</f>
        <v>2.5</v>
      </c>
    </row>
    <row r="4" spans="2:14" x14ac:dyDescent="0.35">
      <c r="B4" s="1">
        <v>15</v>
      </c>
      <c r="C4" s="1">
        <v>44</v>
      </c>
      <c r="F4" s="1">
        <v>13</v>
      </c>
      <c r="G4" s="1">
        <v>44</v>
      </c>
      <c r="H4" s="1">
        <v>2</v>
      </c>
      <c r="I4" s="1">
        <v>2.5</v>
      </c>
      <c r="J4" s="1">
        <f t="shared" ref="J4:J9" si="0">VLOOKUP(B4,$J$12:$K$18,2,0)</f>
        <v>7</v>
      </c>
      <c r="K4" s="1">
        <f>VLOOKUP(C4,$M$12:$N$18,2,0)</f>
        <v>2.5</v>
      </c>
    </row>
    <row r="5" spans="2:14" x14ac:dyDescent="0.35">
      <c r="B5" s="1">
        <v>13</v>
      </c>
      <c r="C5" s="1">
        <v>38</v>
      </c>
      <c r="F5" s="1">
        <v>14</v>
      </c>
      <c r="G5" s="1">
        <v>44</v>
      </c>
      <c r="H5" s="1">
        <v>4.5</v>
      </c>
      <c r="I5" s="1">
        <v>2.5</v>
      </c>
      <c r="J5" s="1">
        <f t="shared" si="0"/>
        <v>2</v>
      </c>
      <c r="K5" s="1">
        <f>VLOOKUP(C5,$M$12:$N$18,2,0)</f>
        <v>1</v>
      </c>
    </row>
    <row r="6" spans="2:14" x14ac:dyDescent="0.35">
      <c r="B6" s="1">
        <v>14</v>
      </c>
      <c r="C6" s="1">
        <v>45</v>
      </c>
      <c r="F6" s="1">
        <v>14</v>
      </c>
      <c r="G6" s="1">
        <v>45</v>
      </c>
      <c r="H6" s="1">
        <v>4.5</v>
      </c>
      <c r="I6" s="1">
        <v>4</v>
      </c>
      <c r="J6" s="1">
        <f t="shared" si="0"/>
        <v>4.5</v>
      </c>
      <c r="K6" s="1">
        <f>VLOOKUP(C6,$M$12:$N$18,2,0)</f>
        <v>4</v>
      </c>
    </row>
    <row r="7" spans="2:14" x14ac:dyDescent="0.35">
      <c r="B7" s="1">
        <v>7</v>
      </c>
      <c r="C7" s="1">
        <v>48</v>
      </c>
      <c r="F7" s="1">
        <v>14</v>
      </c>
      <c r="G7" s="1">
        <v>46</v>
      </c>
      <c r="H7" s="1">
        <v>4.5</v>
      </c>
      <c r="I7" s="1">
        <v>5</v>
      </c>
      <c r="J7" s="1">
        <f t="shared" si="0"/>
        <v>1</v>
      </c>
      <c r="K7" s="1">
        <f>VLOOKUP(C7,$M$12:$N$18,2,0)</f>
        <v>6</v>
      </c>
    </row>
    <row r="8" spans="2:14" x14ac:dyDescent="0.35">
      <c r="B8" s="1">
        <v>14</v>
      </c>
      <c r="C8" s="1">
        <v>50</v>
      </c>
      <c r="F8" s="1">
        <v>14</v>
      </c>
      <c r="G8" s="1">
        <v>48</v>
      </c>
      <c r="H8" s="1">
        <v>4.5</v>
      </c>
      <c r="I8" s="1">
        <v>6</v>
      </c>
      <c r="J8" s="1">
        <f t="shared" si="0"/>
        <v>4.5</v>
      </c>
      <c r="K8" s="1">
        <f>VLOOKUP(C8,$M$12:$N$18,2,0)</f>
        <v>7</v>
      </c>
    </row>
    <row r="9" spans="2:14" x14ac:dyDescent="0.35">
      <c r="B9" s="1">
        <v>14</v>
      </c>
      <c r="C9" s="1">
        <v>46</v>
      </c>
      <c r="F9" s="1">
        <v>15</v>
      </c>
      <c r="G9" s="1">
        <v>50</v>
      </c>
      <c r="H9" s="1">
        <v>7</v>
      </c>
      <c r="I9" s="1">
        <v>7</v>
      </c>
      <c r="J9" s="1">
        <f t="shared" si="0"/>
        <v>4.5</v>
      </c>
      <c r="K9" s="1">
        <f>VLOOKUP(C9,$M$12:$N$18,2,0)</f>
        <v>5</v>
      </c>
    </row>
    <row r="11" spans="2:14" x14ac:dyDescent="0.35">
      <c r="B11" s="1" t="s">
        <v>11</v>
      </c>
      <c r="C11" s="1" t="s">
        <v>15</v>
      </c>
      <c r="D11" s="4">
        <f>CORREL(B3:B9,C3:C9)</f>
        <v>-0.24384603328588314</v>
      </c>
      <c r="J11" s="1" t="s">
        <v>25</v>
      </c>
      <c r="K11" s="1" t="s">
        <v>18</v>
      </c>
      <c r="M11" s="1" t="s">
        <v>26</v>
      </c>
      <c r="N11" s="1" t="s">
        <v>19</v>
      </c>
    </row>
    <row r="12" spans="2:14" x14ac:dyDescent="0.35">
      <c r="B12" s="1" t="s">
        <v>11</v>
      </c>
      <c r="C12" s="1" t="s">
        <v>27</v>
      </c>
      <c r="D12" s="4">
        <f>CORREL(J3:J9,K3:K9)</f>
        <v>-0.12922695052922592</v>
      </c>
      <c r="H12">
        <v>3</v>
      </c>
      <c r="J12" s="1">
        <v>7</v>
      </c>
      <c r="K12" s="1">
        <v>1</v>
      </c>
      <c r="M12" s="1">
        <v>38</v>
      </c>
      <c r="N12" s="1">
        <v>1</v>
      </c>
    </row>
    <row r="13" spans="2:14" x14ac:dyDescent="0.35">
      <c r="H13">
        <v>4</v>
      </c>
      <c r="J13" s="1">
        <v>13</v>
      </c>
      <c r="K13" s="1">
        <v>2</v>
      </c>
      <c r="M13" s="1">
        <v>44</v>
      </c>
      <c r="N13" s="1">
        <v>2.5</v>
      </c>
    </row>
    <row r="14" spans="2:14" x14ac:dyDescent="0.35">
      <c r="H14">
        <v>5</v>
      </c>
      <c r="J14" s="1">
        <v>14</v>
      </c>
      <c r="K14" s="1">
        <v>4.5</v>
      </c>
      <c r="M14" s="1">
        <v>44</v>
      </c>
      <c r="N14" s="1">
        <v>2.5</v>
      </c>
    </row>
    <row r="15" spans="2:14" x14ac:dyDescent="0.35">
      <c r="H15">
        <v>6</v>
      </c>
      <c r="J15" s="1">
        <v>14</v>
      </c>
      <c r="K15" s="1">
        <v>4.5</v>
      </c>
      <c r="M15" s="1">
        <v>45</v>
      </c>
      <c r="N15" s="1">
        <v>4</v>
      </c>
    </row>
    <row r="16" spans="2:14" x14ac:dyDescent="0.35">
      <c r="J16" s="1">
        <v>14</v>
      </c>
      <c r="K16" s="1">
        <v>4.5</v>
      </c>
      <c r="M16" s="1">
        <v>46</v>
      </c>
      <c r="N16" s="1">
        <v>5</v>
      </c>
    </row>
    <row r="17" spans="5:16" x14ac:dyDescent="0.35">
      <c r="J17" s="1">
        <v>14</v>
      </c>
      <c r="K17" s="1">
        <v>4.5</v>
      </c>
      <c r="M17" s="1">
        <v>48</v>
      </c>
      <c r="N17" s="1">
        <v>6</v>
      </c>
    </row>
    <row r="18" spans="5:16" x14ac:dyDescent="0.35">
      <c r="J18" s="1">
        <v>15</v>
      </c>
      <c r="K18" s="1">
        <v>7</v>
      </c>
      <c r="M18" s="1">
        <v>50</v>
      </c>
      <c r="N18" s="1">
        <v>7</v>
      </c>
    </row>
    <row r="20" spans="5:16" x14ac:dyDescent="0.35">
      <c r="E20" t="s">
        <v>29</v>
      </c>
      <c r="I20" t="s">
        <v>30</v>
      </c>
    </row>
    <row r="21" spans="5:16" x14ac:dyDescent="0.35">
      <c r="E21" s="1" t="s">
        <v>28</v>
      </c>
      <c r="F21" s="1" t="s">
        <v>25</v>
      </c>
      <c r="G21" s="1" t="s">
        <v>26</v>
      </c>
      <c r="I21" s="2" t="s">
        <v>28</v>
      </c>
      <c r="J21" s="2" t="s">
        <v>25</v>
      </c>
      <c r="K21" s="2" t="s">
        <v>26</v>
      </c>
    </row>
    <row r="22" spans="5:16" x14ac:dyDescent="0.35">
      <c r="E22" s="1">
        <v>1</v>
      </c>
      <c r="F22" s="1">
        <v>4.5</v>
      </c>
      <c r="G22" s="1">
        <v>2.5</v>
      </c>
      <c r="I22" s="2">
        <v>5</v>
      </c>
      <c r="J22" s="2">
        <v>1</v>
      </c>
      <c r="K22" s="2">
        <v>6</v>
      </c>
    </row>
    <row r="23" spans="5:16" x14ac:dyDescent="0.35">
      <c r="E23" s="1">
        <v>2</v>
      </c>
      <c r="F23" s="1">
        <v>7</v>
      </c>
      <c r="G23" s="1">
        <v>2.5</v>
      </c>
      <c r="I23" s="2">
        <v>3</v>
      </c>
      <c r="J23" s="2">
        <v>2</v>
      </c>
      <c r="K23" s="2">
        <v>1</v>
      </c>
    </row>
    <row r="24" spans="5:16" x14ac:dyDescent="0.35">
      <c r="E24" s="1">
        <v>3</v>
      </c>
      <c r="F24" s="1">
        <v>2</v>
      </c>
      <c r="G24" s="1">
        <v>1</v>
      </c>
      <c r="I24" s="2">
        <v>1</v>
      </c>
      <c r="J24" s="2">
        <v>4.5</v>
      </c>
      <c r="K24" s="2">
        <v>2.5</v>
      </c>
    </row>
    <row r="25" spans="5:16" x14ac:dyDescent="0.35">
      <c r="E25" s="1">
        <v>4</v>
      </c>
      <c r="F25" s="1">
        <v>4.5</v>
      </c>
      <c r="G25" s="1">
        <v>4</v>
      </c>
      <c r="I25" s="2">
        <v>4</v>
      </c>
      <c r="J25" s="2">
        <v>4.5</v>
      </c>
      <c r="K25" s="2">
        <v>4</v>
      </c>
    </row>
    <row r="26" spans="5:16" x14ac:dyDescent="0.35">
      <c r="E26" s="1">
        <v>5</v>
      </c>
      <c r="F26" s="1">
        <v>1</v>
      </c>
      <c r="G26" s="1">
        <v>6</v>
      </c>
      <c r="I26" s="2">
        <v>6</v>
      </c>
      <c r="J26" s="2">
        <v>4.5</v>
      </c>
      <c r="K26" s="2">
        <v>7</v>
      </c>
    </row>
    <row r="27" spans="5:16" x14ac:dyDescent="0.35">
      <c r="E27" s="1">
        <v>6</v>
      </c>
      <c r="F27" s="1">
        <v>4.5</v>
      </c>
      <c r="G27" s="1">
        <v>7</v>
      </c>
      <c r="I27" s="2">
        <v>7</v>
      </c>
      <c r="J27" s="2">
        <v>4.5</v>
      </c>
      <c r="K27" s="2">
        <v>5</v>
      </c>
    </row>
    <row r="28" spans="5:16" x14ac:dyDescent="0.35">
      <c r="E28" s="1">
        <v>7</v>
      </c>
      <c r="F28" s="1">
        <v>4.5</v>
      </c>
      <c r="G28" s="1">
        <v>5</v>
      </c>
      <c r="I28" s="2">
        <v>2</v>
      </c>
      <c r="J28" s="2">
        <v>7</v>
      </c>
      <c r="K28" s="2">
        <v>2.5</v>
      </c>
    </row>
    <row r="30" spans="5:16" x14ac:dyDescent="0.35">
      <c r="I30" s="5" t="s">
        <v>28</v>
      </c>
      <c r="J30" s="5">
        <v>5</v>
      </c>
      <c r="K30" s="5">
        <v>3</v>
      </c>
      <c r="L30" s="5">
        <v>1</v>
      </c>
      <c r="M30" s="5">
        <v>4</v>
      </c>
      <c r="N30" s="5">
        <v>6</v>
      </c>
      <c r="O30" s="5">
        <v>7</v>
      </c>
      <c r="P30" s="5">
        <v>2</v>
      </c>
    </row>
    <row r="31" spans="5:16" x14ac:dyDescent="0.35">
      <c r="I31" s="5" t="s">
        <v>25</v>
      </c>
      <c r="J31" s="5">
        <v>1</v>
      </c>
      <c r="K31" s="5">
        <v>2</v>
      </c>
      <c r="L31" s="5">
        <v>4.5</v>
      </c>
      <c r="M31" s="5">
        <v>4.5</v>
      </c>
      <c r="N31" s="5">
        <v>4.5</v>
      </c>
      <c r="O31" s="5">
        <v>4.5</v>
      </c>
      <c r="P31" s="5">
        <v>7</v>
      </c>
    </row>
    <row r="32" spans="5:16" x14ac:dyDescent="0.35">
      <c r="I32" s="5" t="s">
        <v>26</v>
      </c>
      <c r="J32" s="5">
        <v>6</v>
      </c>
      <c r="K32" s="5">
        <v>1</v>
      </c>
      <c r="L32" s="5">
        <v>2.5</v>
      </c>
      <c r="M32" s="5">
        <v>4</v>
      </c>
      <c r="N32" s="5">
        <v>7</v>
      </c>
      <c r="O32" s="5">
        <v>5</v>
      </c>
      <c r="P32" s="5">
        <v>2.5</v>
      </c>
    </row>
    <row r="33" spans="9:18" x14ac:dyDescent="0.35">
      <c r="I33" s="5" t="s">
        <v>28</v>
      </c>
      <c r="J33" s="5"/>
      <c r="K33" s="5"/>
      <c r="L33" s="5"/>
      <c r="M33" s="5"/>
      <c r="N33" s="5"/>
      <c r="O33" s="5"/>
      <c r="P33" s="5"/>
      <c r="Q33" t="s">
        <v>34</v>
      </c>
      <c r="R33" t="s">
        <v>35</v>
      </c>
    </row>
    <row r="34" spans="9:18" x14ac:dyDescent="0.35">
      <c r="I34" s="5">
        <v>5</v>
      </c>
      <c r="J34" s="5" t="s">
        <v>31</v>
      </c>
      <c r="K34" s="6" t="s">
        <v>33</v>
      </c>
      <c r="L34" s="6" t="s">
        <v>33</v>
      </c>
      <c r="M34" s="6" t="s">
        <v>33</v>
      </c>
      <c r="N34" s="6" t="s">
        <v>32</v>
      </c>
      <c r="O34" s="6" t="s">
        <v>33</v>
      </c>
      <c r="P34" s="6" t="s">
        <v>33</v>
      </c>
      <c r="Q34">
        <v>1</v>
      </c>
      <c r="R34">
        <v>5</v>
      </c>
    </row>
    <row r="35" spans="9:18" x14ac:dyDescent="0.35">
      <c r="I35" s="5">
        <v>3</v>
      </c>
      <c r="J35" s="5" t="s">
        <v>0</v>
      </c>
      <c r="K35" s="5" t="s">
        <v>31</v>
      </c>
      <c r="L35" s="6" t="s">
        <v>32</v>
      </c>
      <c r="M35" s="6" t="s">
        <v>32</v>
      </c>
      <c r="N35" s="6" t="s">
        <v>32</v>
      </c>
      <c r="O35" s="6" t="s">
        <v>32</v>
      </c>
      <c r="P35" s="6" t="s">
        <v>32</v>
      </c>
      <c r="Q35">
        <v>5</v>
      </c>
    </row>
    <row r="36" spans="9:18" x14ac:dyDescent="0.35">
      <c r="I36" s="5">
        <v>1</v>
      </c>
      <c r="J36" s="5" t="s">
        <v>0</v>
      </c>
      <c r="K36" s="5" t="s">
        <v>0</v>
      </c>
      <c r="L36" s="5" t="s">
        <v>31</v>
      </c>
      <c r="M36" s="6">
        <v>0</v>
      </c>
      <c r="N36" s="6">
        <v>0</v>
      </c>
      <c r="O36" s="6">
        <v>0</v>
      </c>
      <c r="P36" s="6">
        <v>0</v>
      </c>
    </row>
    <row r="37" spans="9:18" x14ac:dyDescent="0.35">
      <c r="I37" s="5">
        <v>4</v>
      </c>
      <c r="J37" s="5" t="s">
        <v>0</v>
      </c>
      <c r="K37" s="5" t="s">
        <v>0</v>
      </c>
      <c r="L37" s="5" t="s">
        <v>0</v>
      </c>
      <c r="M37" s="5" t="s">
        <v>31</v>
      </c>
      <c r="N37" s="6">
        <v>0</v>
      </c>
      <c r="O37" s="6">
        <v>0</v>
      </c>
      <c r="P37" s="6" t="s">
        <v>33</v>
      </c>
      <c r="R37">
        <v>1</v>
      </c>
    </row>
    <row r="38" spans="9:18" x14ac:dyDescent="0.35">
      <c r="I38" s="5">
        <v>6</v>
      </c>
      <c r="J38" s="5" t="s">
        <v>0</v>
      </c>
      <c r="K38" s="5" t="s">
        <v>0</v>
      </c>
      <c r="L38" s="5" t="s">
        <v>0</v>
      </c>
      <c r="M38" s="5" t="s">
        <v>0</v>
      </c>
      <c r="N38" s="5" t="s">
        <v>31</v>
      </c>
      <c r="O38" s="6">
        <v>0</v>
      </c>
      <c r="P38" s="6" t="s">
        <v>33</v>
      </c>
      <c r="R38">
        <v>1</v>
      </c>
    </row>
    <row r="39" spans="9:18" x14ac:dyDescent="0.35">
      <c r="I39" s="5">
        <v>7</v>
      </c>
      <c r="J39" s="5" t="s">
        <v>0</v>
      </c>
      <c r="K39" s="5" t="s">
        <v>0</v>
      </c>
      <c r="L39" s="5" t="s">
        <v>0</v>
      </c>
      <c r="M39" s="5" t="s">
        <v>0</v>
      </c>
      <c r="N39" s="5" t="s">
        <v>0</v>
      </c>
      <c r="O39" s="5" t="s">
        <v>31</v>
      </c>
      <c r="P39" s="6" t="s">
        <v>33</v>
      </c>
      <c r="R39">
        <v>1</v>
      </c>
    </row>
    <row r="40" spans="9:18" x14ac:dyDescent="0.35">
      <c r="I40" s="5">
        <v>2</v>
      </c>
      <c r="J40" s="5" t="s">
        <v>0</v>
      </c>
      <c r="K40" s="5" t="s">
        <v>0</v>
      </c>
      <c r="L40" s="5" t="s">
        <v>0</v>
      </c>
      <c r="M40" s="5" t="s">
        <v>0</v>
      </c>
      <c r="N40" s="5" t="s">
        <v>0</v>
      </c>
      <c r="O40" s="5" t="s">
        <v>0</v>
      </c>
      <c r="P40" s="5" t="s">
        <v>31</v>
      </c>
    </row>
    <row r="41" spans="9:18" x14ac:dyDescent="0.35">
      <c r="P41" t="s">
        <v>5</v>
      </c>
      <c r="Q41">
        <f>SUM(Q34:Q40)</f>
        <v>6</v>
      </c>
      <c r="R41">
        <f>SUM(R34:R40)</f>
        <v>8</v>
      </c>
    </row>
    <row r="47" spans="9:18" x14ac:dyDescent="0.35">
      <c r="J47" t="s">
        <v>42</v>
      </c>
      <c r="K47" t="s">
        <v>40</v>
      </c>
    </row>
    <row r="48" spans="9:18" x14ac:dyDescent="0.35">
      <c r="K48" t="s">
        <v>41</v>
      </c>
      <c r="N48" t="s">
        <v>44</v>
      </c>
    </row>
    <row r="49" spans="5:14" x14ac:dyDescent="0.35">
      <c r="J49" t="s">
        <v>42</v>
      </c>
      <c r="K49">
        <f>SUM(7*(6/2))</f>
        <v>21</v>
      </c>
      <c r="N49" t="s">
        <v>43</v>
      </c>
    </row>
    <row r="51" spans="5:14" x14ac:dyDescent="0.35">
      <c r="J51" t="s">
        <v>45</v>
      </c>
      <c r="K51">
        <f>K49-(4*(4-1)/2)</f>
        <v>15</v>
      </c>
    </row>
    <row r="52" spans="5:14" x14ac:dyDescent="0.35">
      <c r="J52" t="s">
        <v>46</v>
      </c>
      <c r="K52">
        <f>K49-(2*(2-1)/2)</f>
        <v>20</v>
      </c>
    </row>
    <row r="55" spans="5:14" x14ac:dyDescent="0.35">
      <c r="G55" t="s">
        <v>36</v>
      </c>
      <c r="H55">
        <v>21</v>
      </c>
    </row>
    <row r="56" spans="5:14" x14ac:dyDescent="0.35">
      <c r="G56" t="s">
        <v>37</v>
      </c>
      <c r="H56">
        <v>15</v>
      </c>
    </row>
    <row r="57" spans="5:14" x14ac:dyDescent="0.35">
      <c r="G57" t="s">
        <v>38</v>
      </c>
      <c r="H57">
        <v>20</v>
      </c>
    </row>
    <row r="59" spans="5:14" x14ac:dyDescent="0.35">
      <c r="E59" t="s">
        <v>39</v>
      </c>
      <c r="F59">
        <f>(Q41-R41)/SQRT(H56*H57)</f>
        <v>-0.11547005383792514</v>
      </c>
    </row>
  </sheetData>
  <sortState xmlns:xlrd2="http://schemas.microsoft.com/office/spreadsheetml/2017/richdata2" ref="I22:K28">
    <sortCondition ref="J22:J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Tworzydło</dc:creator>
  <cp:lastModifiedBy>Łukasz Tworzydło</cp:lastModifiedBy>
  <dcterms:created xsi:type="dcterms:W3CDTF">2022-04-13T09:58:09Z</dcterms:created>
  <dcterms:modified xsi:type="dcterms:W3CDTF">2022-04-13T12:54:51Z</dcterms:modified>
</cp:coreProperties>
</file>