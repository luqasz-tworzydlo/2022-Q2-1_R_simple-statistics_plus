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ublic\RStudio [projects]\2022-Q2-R-1\Additionally\EXCEL\"/>
    </mc:Choice>
  </mc:AlternateContent>
  <xr:revisionPtr revIDLastSave="0" documentId="13_ncr:1_{2659C3F6-702B-4330-AF00-29AA4AD70105}" xr6:coauthVersionLast="47" xr6:coauthVersionMax="47" xr10:uidLastSave="{00000000-0000-0000-0000-000000000000}"/>
  <bookViews>
    <workbookView xWindow="-38520" yWindow="-5520" windowWidth="38640" windowHeight="21240" xr2:uid="{98BE0B0F-01C2-4BE7-95BA-3326541EFC4C}"/>
  </bookViews>
  <sheets>
    <sheet name="(1-2)" sheetId="1" r:id="rId1"/>
    <sheet name="(2-2)" sheetId="2" r:id="rId2"/>
  </sheets>
  <definedNames>
    <definedName name="_xlnm._FilterDatabase" localSheetId="0" hidden="1">'(1-2)'!$K$4:$K$8</definedName>
    <definedName name="_xlnm._FilterDatabase" localSheetId="1" hidden="1">'(2-2)'!$G$4:$G$13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T55" i="2" l="1"/>
  <c r="S55" i="2"/>
  <c r="R55" i="2"/>
  <c r="K59" i="2" l="1"/>
  <c r="C10" i="1"/>
  <c r="C9" i="1"/>
  <c r="E6" i="1" s="1"/>
  <c r="B9" i="1"/>
  <c r="B10" i="1" s="1"/>
  <c r="D15" i="2"/>
  <c r="K5" i="2"/>
  <c r="K6" i="2"/>
  <c r="K7" i="2"/>
  <c r="K8" i="2"/>
  <c r="K9" i="2"/>
  <c r="K10" i="2"/>
  <c r="K11" i="2"/>
  <c r="K12" i="2"/>
  <c r="K13" i="2"/>
  <c r="K4" i="2"/>
  <c r="J9" i="2"/>
  <c r="J11" i="2"/>
  <c r="J13" i="2"/>
  <c r="J5" i="2"/>
  <c r="J6" i="2"/>
  <c r="J7" i="2"/>
  <c r="J8" i="2"/>
  <c r="J10" i="2"/>
  <c r="J12" i="2"/>
  <c r="J4" i="2"/>
  <c r="P5" i="1"/>
  <c r="C11" i="1"/>
  <c r="B11" i="1"/>
  <c r="G12" i="1"/>
  <c r="F16" i="1"/>
  <c r="P6" i="1"/>
  <c r="P7" i="1"/>
  <c r="P8" i="1"/>
  <c r="P4" i="1"/>
  <c r="O5" i="1"/>
  <c r="O6" i="1"/>
  <c r="O7" i="1"/>
  <c r="O8" i="1"/>
  <c r="O4" i="1"/>
  <c r="Q4" i="1" s="1"/>
  <c r="H14" i="1"/>
  <c r="F12" i="1"/>
  <c r="D16" i="2" l="1"/>
  <c r="H59" i="2"/>
  <c r="K61" i="2" s="1"/>
  <c r="D5" i="1"/>
  <c r="F5" i="1" s="1"/>
  <c r="D4" i="1"/>
  <c r="D8" i="1"/>
  <c r="D7" i="1"/>
  <c r="F7" i="1" s="1"/>
  <c r="D6" i="1"/>
  <c r="Q8" i="1"/>
  <c r="R8" i="1" s="1"/>
  <c r="Q7" i="1"/>
  <c r="R7" i="1" s="1"/>
  <c r="Q6" i="1"/>
  <c r="R6" i="1" s="1"/>
  <c r="R4" i="1"/>
  <c r="P10" i="1"/>
  <c r="Q5" i="1"/>
  <c r="R5" i="1" s="1"/>
  <c r="E7" i="1"/>
  <c r="G7" i="1" s="1"/>
  <c r="G6" i="1"/>
  <c r="E8" i="1"/>
  <c r="G8" i="1" s="1"/>
  <c r="E4" i="1"/>
  <c r="G4" i="1" s="1"/>
  <c r="E5" i="1"/>
  <c r="G5" i="1" s="1"/>
  <c r="H61" i="2" l="1"/>
  <c r="K62" i="2" s="1"/>
  <c r="H62" i="2"/>
  <c r="K63" i="2" s="1"/>
  <c r="H8" i="1"/>
  <c r="H4" i="1"/>
  <c r="F4" i="1"/>
  <c r="G10" i="1"/>
  <c r="G11" i="1" s="1"/>
  <c r="R9" i="1"/>
  <c r="R11" i="1" s="1"/>
  <c r="F8" i="1"/>
  <c r="F6" i="1"/>
  <c r="H6" i="1"/>
  <c r="H7" i="1"/>
  <c r="H5" i="1"/>
  <c r="H64" i="2" l="1"/>
  <c r="H9" i="1"/>
  <c r="H13" i="1" s="1"/>
  <c r="F10" i="1"/>
  <c r="F11" i="1" s="1"/>
  <c r="F15" i="1" l="1"/>
</calcChain>
</file>

<file path=xl/sharedStrings.xml><?xml version="1.0" encoding="utf-8"?>
<sst xmlns="http://schemas.openxmlformats.org/spreadsheetml/2006/main" count="234" uniqueCount="95">
  <si>
    <t>x</t>
  </si>
  <si>
    <t>y</t>
  </si>
  <si>
    <t>suma</t>
  </si>
  <si>
    <t>Exel</t>
  </si>
  <si>
    <t>iloczyn</t>
  </si>
  <si>
    <t>r</t>
  </si>
  <si>
    <t>ranga sort x</t>
  </si>
  <si>
    <t>ranga sort y</t>
  </si>
  <si>
    <t>ranga x</t>
  </si>
  <si>
    <t>ranga y</t>
  </si>
  <si>
    <t>di</t>
  </si>
  <si>
    <t>di^2</t>
  </si>
  <si>
    <t>wzór z W</t>
  </si>
  <si>
    <t>sort x</t>
  </si>
  <si>
    <t>sort y</t>
  </si>
  <si>
    <t>R_S</t>
  </si>
  <si>
    <t>numer pary</t>
  </si>
  <si>
    <t>X</t>
  </si>
  <si>
    <t>C</t>
  </si>
  <si>
    <t>D</t>
  </si>
  <si>
    <t>n0</t>
  </si>
  <si>
    <t>n1</t>
  </si>
  <si>
    <t>n2</t>
  </si>
  <si>
    <t>Kendall</t>
  </si>
  <si>
    <t>ilość par</t>
  </si>
  <si>
    <t>n1 par</t>
  </si>
  <si>
    <t>n2 par</t>
  </si>
  <si>
    <t>wartość n</t>
  </si>
  <si>
    <t>zmienne</t>
  </si>
  <si>
    <t>dane (1-5)</t>
  </si>
  <si>
    <t>dane (2-5)</t>
  </si>
  <si>
    <t>dane (3-5)</t>
  </si>
  <si>
    <t>dane (4-5)</t>
  </si>
  <si>
    <t>dane (5-5)</t>
  </si>
  <si>
    <t>średnia [mean]</t>
  </si>
  <si>
    <t>Exel [mean / average]</t>
  </si>
  <si>
    <t>suma [sum]</t>
  </si>
  <si>
    <t>różnica obliczonej średniej</t>
  </si>
  <si>
    <t>wraz z danymi [x - średnia(*)]</t>
  </si>
  <si>
    <t>wraz z danymi [y - średnia(*)]</t>
  </si>
  <si>
    <t>różnica podniesiona</t>
  </si>
  <si>
    <t>do kwadratu [ y ^2 ]</t>
  </si>
  <si>
    <t>do kwadratu [ x ^2 ]</t>
  </si>
  <si>
    <t>dla [x,y]</t>
  </si>
  <si>
    <t>suma_iloczynu</t>
  </si>
  <si>
    <t>suma_kwadratów</t>
  </si>
  <si>
    <t>obliczona wariancja</t>
  </si>
  <si>
    <t>wariacja [ z funkcji Exel ]</t>
  </si>
  <si>
    <t>kowariancja Pearsona</t>
  </si>
  <si>
    <t>Exel [ kowariancja P. ]</t>
  </si>
  <si>
    <t>/// /// /// ///</t>
  </si>
  <si>
    <t>///</t>
  </si>
  <si>
    <t>r [ obliczenie wartości korelacji ]</t>
  </si>
  <si>
    <t>Obliczenie korelacji ( przy Exelu )</t>
  </si>
  <si>
    <t>posortowana ( x sort )</t>
  </si>
  <si>
    <t>wartość zmienna x</t>
  </si>
  <si>
    <t>posortowana ( y sort )</t>
  </si>
  <si>
    <t>ranga wartości x</t>
  </si>
  <si>
    <t>( ranga sort x )</t>
  </si>
  <si>
    <t>( ranga sort y )</t>
  </si>
  <si>
    <t>ranga wartości y</t>
  </si>
  <si>
    <t>( ranga x )</t>
  </si>
  <si>
    <t>wysz. pion</t>
  </si>
  <si>
    <t>( ranga y )</t>
  </si>
  <si>
    <t>różnica (*)</t>
  </si>
  <si>
    <t>obliczenie korelacji Spearmana ( Exel ) [ r ]</t>
  </si>
  <si>
    <t>suma_kwadratów [ di^2 ]</t>
  </si>
  <si>
    <t>dane do obliczenia [ wysz. pion ( ranga x ) ]</t>
  </si>
  <si>
    <t>dane (…) [ wysz. pion ( ranga y ) ]</t>
  </si>
  <si>
    <t>/// /// ///</t>
  </si>
  <si>
    <t>posortowane</t>
  </si>
  <si>
    <t>wartości ( sort x )</t>
  </si>
  <si>
    <t>wartości ( sort y )</t>
  </si>
  <si>
    <t>dane + ranga [ posortowane ]</t>
  </si>
  <si>
    <t>wartości przed sortowaniem</t>
  </si>
  <si>
    <t>wartości po sortowaniu</t>
  </si>
  <si>
    <t>1&lt;2</t>
  </si>
  <si>
    <t>lecz 6&gt;1</t>
  </si>
  <si>
    <t>2&lt;4</t>
  </si>
  <si>
    <t>oraz 1&lt;3</t>
  </si>
  <si>
    <t>3&lt;5</t>
  </si>
  <si>
    <t>lecz 4=4</t>
  </si>
  <si>
    <t>C (łącznie)</t>
  </si>
  <si>
    <t>D (łącznie)</t>
  </si>
  <si>
    <t>0 (łącznie)</t>
  </si>
  <si>
    <t>///////</t>
  </si>
  <si>
    <t>10 par po 2</t>
  </si>
  <si>
    <t>10 * 8/2</t>
  </si>
  <si>
    <t>sort y par</t>
  </si>
  <si>
    <t>sort x par</t>
  </si>
  <si>
    <t>łączna ilość par</t>
  </si>
  <si>
    <t>obliczanie ilości par</t>
  </si>
  <si>
    <t>korelacja</t>
  </si>
  <si>
    <t>Spearman</t>
  </si>
  <si>
    <t>/// /// /// /// ///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</si>
</sst>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6" formatCode="0.0000"/>
  </numFmts>
  <fonts count="1" x14ac:knownFonts="1">
    <font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>
      <alignment horizontal="center"/>
    </xf>
    <xf numFmtId="0" fontId="0" fillId="3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7" borderId="3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2" fontId="0" fillId="8" borderId="1" xfId="0" applyNumberForma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0" fillId="6" borderId="1" xfId="0" applyNumberFormat="1" applyFill="1" applyBorder="1"/>
    <xf numFmtId="0" fontId="0" fillId="9" borderId="1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66" fontId="0" fillId="7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2" borderId="3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D20F0-76AC-425D-927E-79B063BEA6BF}">
  <dimension ref="A2:R17"/>
  <sheetViews>
    <sheetView tabSelected="1" zoomScaleNormal="100" workbookViewId="0">
      <selection activeCell="A2" sqref="A2"/>
    </sheetView>
  </sheetViews>
  <sheetFormatPr defaultRowHeight="14.5" x14ac:dyDescent="0.35"/>
  <cols>
    <col min="1" max="1" width="19.08984375" bestFit="1" customWidth="1"/>
    <col min="2" max="3" width="5.36328125" bestFit="1" customWidth="1"/>
    <col min="4" max="4" width="25.7265625" bestFit="1" customWidth="1"/>
    <col min="5" max="5" width="28.1796875" bestFit="1" customWidth="1"/>
    <col min="6" max="7" width="17.7265625" bestFit="1" customWidth="1"/>
    <col min="8" max="8" width="7.36328125" bestFit="1" customWidth="1"/>
    <col min="11" max="12" width="19.36328125" bestFit="1" customWidth="1"/>
    <col min="13" max="14" width="14.453125" bestFit="1" customWidth="1"/>
    <col min="15" max="15" width="15.26953125" customWidth="1"/>
    <col min="16" max="17" width="9.54296875" bestFit="1" customWidth="1"/>
    <col min="18" max="18" width="5.36328125" bestFit="1" customWidth="1"/>
  </cols>
  <sheetData>
    <row r="2" spans="1:18" x14ac:dyDescent="0.35">
      <c r="A2" s="9" t="s">
        <v>27</v>
      </c>
      <c r="B2" s="9">
        <v>5</v>
      </c>
      <c r="C2" s="9">
        <v>5</v>
      </c>
      <c r="D2" s="6" t="s">
        <v>37</v>
      </c>
      <c r="E2" s="3" t="s">
        <v>37</v>
      </c>
      <c r="F2" s="12" t="s">
        <v>40</v>
      </c>
      <c r="G2" s="3" t="s">
        <v>40</v>
      </c>
      <c r="H2" s="3" t="s">
        <v>4</v>
      </c>
      <c r="K2" s="3" t="s">
        <v>55</v>
      </c>
      <c r="L2" s="3" t="s">
        <v>55</v>
      </c>
      <c r="M2" s="3" t="s">
        <v>57</v>
      </c>
      <c r="N2" s="3" t="s">
        <v>60</v>
      </c>
      <c r="O2" s="3" t="s">
        <v>62</v>
      </c>
      <c r="P2" s="3" t="s">
        <v>62</v>
      </c>
      <c r="Q2" s="3" t="s">
        <v>64</v>
      </c>
      <c r="R2" s="3" t="s">
        <v>51</v>
      </c>
    </row>
    <row r="3" spans="1:18" x14ac:dyDescent="0.35">
      <c r="A3" s="10" t="s">
        <v>28</v>
      </c>
      <c r="B3" s="2" t="s">
        <v>0</v>
      </c>
      <c r="C3" s="2" t="s">
        <v>1</v>
      </c>
      <c r="D3" s="6" t="s">
        <v>38</v>
      </c>
      <c r="E3" s="3" t="s">
        <v>39</v>
      </c>
      <c r="F3" s="12" t="s">
        <v>42</v>
      </c>
      <c r="G3" s="3" t="s">
        <v>41</v>
      </c>
      <c r="H3" s="3" t="s">
        <v>43</v>
      </c>
      <c r="K3" s="3" t="s">
        <v>54</v>
      </c>
      <c r="L3" s="3" t="s">
        <v>56</v>
      </c>
      <c r="M3" s="3" t="s">
        <v>58</v>
      </c>
      <c r="N3" s="3" t="s">
        <v>59</v>
      </c>
      <c r="O3" s="3" t="s">
        <v>61</v>
      </c>
      <c r="P3" s="3" t="s">
        <v>63</v>
      </c>
      <c r="Q3" s="3" t="s">
        <v>10</v>
      </c>
      <c r="R3" s="3" t="s">
        <v>11</v>
      </c>
    </row>
    <row r="4" spans="1:18" x14ac:dyDescent="0.35">
      <c r="A4" s="11" t="s">
        <v>29</v>
      </c>
      <c r="B4" s="5">
        <v>17</v>
      </c>
      <c r="C4" s="5">
        <v>19</v>
      </c>
      <c r="D4" s="8">
        <f>B4-$B$10</f>
        <v>-0.80000000000000071</v>
      </c>
      <c r="E4" s="4">
        <f>C4-$C$10</f>
        <v>-1.1999999999999993</v>
      </c>
      <c r="F4" s="13">
        <f>D4^2</f>
        <v>0.64000000000000112</v>
      </c>
      <c r="G4" s="5">
        <f>E4^2</f>
        <v>1.4399999999999984</v>
      </c>
      <c r="H4" s="4">
        <f>D4*E4</f>
        <v>0.9600000000000003</v>
      </c>
      <c r="K4" s="22">
        <v>16</v>
      </c>
      <c r="L4" s="22">
        <v>18</v>
      </c>
      <c r="M4" s="5">
        <v>1</v>
      </c>
      <c r="N4" s="5">
        <v>1</v>
      </c>
      <c r="O4" s="22">
        <f>VLOOKUP(B4,$K$13:$L$17,2,0)</f>
        <v>2</v>
      </c>
      <c r="P4" s="22">
        <f>VLOOKUP(C4,$N$13:$O$17,2,0)</f>
        <v>2</v>
      </c>
      <c r="Q4" s="5">
        <f>O4-P4</f>
        <v>0</v>
      </c>
      <c r="R4" s="5">
        <f>Q4^2</f>
        <v>0</v>
      </c>
    </row>
    <row r="5" spans="1:18" x14ac:dyDescent="0.35">
      <c r="A5" s="10" t="s">
        <v>30</v>
      </c>
      <c r="B5" s="4">
        <v>20</v>
      </c>
      <c r="C5" s="4">
        <v>22</v>
      </c>
      <c r="D5" s="7">
        <f>B5-$B$10</f>
        <v>2.1999999999999993</v>
      </c>
      <c r="E5" s="5">
        <f t="shared" ref="E5:E8" si="0">C5-$C$10</f>
        <v>1.8000000000000007</v>
      </c>
      <c r="F5" s="14">
        <f t="shared" ref="F5:F8" si="1">D5^2</f>
        <v>4.8399999999999972</v>
      </c>
      <c r="G5" s="4">
        <f t="shared" ref="G5:G8" si="2">E5^2</f>
        <v>3.2400000000000024</v>
      </c>
      <c r="H5" s="5">
        <f t="shared" ref="H5:H8" si="3">D5*E5</f>
        <v>3.9600000000000004</v>
      </c>
      <c r="K5" s="5">
        <v>17</v>
      </c>
      <c r="L5" s="5">
        <v>19</v>
      </c>
      <c r="M5" s="22">
        <v>2</v>
      </c>
      <c r="N5" s="22">
        <v>2</v>
      </c>
      <c r="O5" s="5">
        <f t="shared" ref="O5:O8" si="4">VLOOKUP(B5,$K$13:$L$17,2,0)</f>
        <v>5</v>
      </c>
      <c r="P5" s="5">
        <f>VLOOKUP(C5,$N$13:$O$17,2,0)</f>
        <v>5</v>
      </c>
      <c r="Q5" s="22">
        <f t="shared" ref="Q5:Q8" si="5">O5-P5</f>
        <v>0</v>
      </c>
      <c r="R5" s="22">
        <f t="shared" ref="R5:R8" si="6">Q5^2</f>
        <v>0</v>
      </c>
    </row>
    <row r="6" spans="1:18" x14ac:dyDescent="0.35">
      <c r="A6" s="11" t="s">
        <v>31</v>
      </c>
      <c r="B6" s="5">
        <v>16</v>
      </c>
      <c r="C6" s="5">
        <v>21</v>
      </c>
      <c r="D6" s="8">
        <f>B6-$B$10</f>
        <v>-1.8000000000000007</v>
      </c>
      <c r="E6" s="4">
        <f>C6-$C$10</f>
        <v>0.80000000000000071</v>
      </c>
      <c r="F6" s="13">
        <f t="shared" si="1"/>
        <v>3.2400000000000024</v>
      </c>
      <c r="G6" s="5">
        <f t="shared" si="2"/>
        <v>0.64000000000000112</v>
      </c>
      <c r="H6" s="4">
        <f t="shared" si="3"/>
        <v>-1.4400000000000019</v>
      </c>
      <c r="K6" s="22">
        <v>18</v>
      </c>
      <c r="L6" s="22">
        <v>21</v>
      </c>
      <c r="M6" s="5">
        <v>3.5</v>
      </c>
      <c r="N6" s="5">
        <v>3.5</v>
      </c>
      <c r="O6" s="22">
        <f t="shared" si="4"/>
        <v>1</v>
      </c>
      <c r="P6" s="22">
        <f t="shared" ref="P5:P8" si="7">VLOOKUP(C6,$N$13:$O$17,2,0)</f>
        <v>3.5</v>
      </c>
      <c r="Q6" s="5">
        <f t="shared" si="5"/>
        <v>-2.5</v>
      </c>
      <c r="R6" s="5">
        <f>Q6^2</f>
        <v>6.25</v>
      </c>
    </row>
    <row r="7" spans="1:18" x14ac:dyDescent="0.35">
      <c r="A7" s="10" t="s">
        <v>32</v>
      </c>
      <c r="B7" s="4">
        <v>18</v>
      </c>
      <c r="C7" s="4">
        <v>21</v>
      </c>
      <c r="D7" s="7">
        <f>B7-$B$10</f>
        <v>0.19999999999999929</v>
      </c>
      <c r="E7" s="5">
        <f t="shared" si="0"/>
        <v>0.80000000000000071</v>
      </c>
      <c r="F7" s="14">
        <f>D7^2</f>
        <v>3.9999999999999716E-2</v>
      </c>
      <c r="G7" s="4">
        <f t="shared" si="2"/>
        <v>0.64000000000000112</v>
      </c>
      <c r="H7" s="5">
        <f t="shared" si="3"/>
        <v>0.15999999999999959</v>
      </c>
      <c r="K7" s="5">
        <v>18</v>
      </c>
      <c r="L7" s="5">
        <v>21</v>
      </c>
      <c r="M7" s="22">
        <v>3.5</v>
      </c>
      <c r="N7" s="22">
        <v>3.5</v>
      </c>
      <c r="O7" s="5">
        <f t="shared" si="4"/>
        <v>3.5</v>
      </c>
      <c r="P7" s="5">
        <f t="shared" si="7"/>
        <v>3.5</v>
      </c>
      <c r="Q7" s="22">
        <f t="shared" si="5"/>
        <v>0</v>
      </c>
      <c r="R7" s="22">
        <f t="shared" si="6"/>
        <v>0</v>
      </c>
    </row>
    <row r="8" spans="1:18" x14ac:dyDescent="0.35">
      <c r="A8" s="11" t="s">
        <v>33</v>
      </c>
      <c r="B8" s="5">
        <v>18</v>
      </c>
      <c r="C8" s="5">
        <v>18</v>
      </c>
      <c r="D8" s="8">
        <f>B8-$B$10</f>
        <v>0.19999999999999929</v>
      </c>
      <c r="E8" s="4">
        <f t="shared" si="0"/>
        <v>-2.1999999999999993</v>
      </c>
      <c r="F8" s="13">
        <f t="shared" si="1"/>
        <v>3.9999999999999716E-2</v>
      </c>
      <c r="G8" s="5">
        <f>E8^2</f>
        <v>4.8399999999999972</v>
      </c>
      <c r="H8" s="4">
        <f>D8*E8</f>
        <v>-0.43999999999999828</v>
      </c>
      <c r="K8" s="22">
        <v>20</v>
      </c>
      <c r="L8" s="22">
        <v>22</v>
      </c>
      <c r="M8" s="5">
        <v>5</v>
      </c>
      <c r="N8" s="13">
        <v>5</v>
      </c>
      <c r="O8" s="22">
        <f t="shared" si="4"/>
        <v>3.5</v>
      </c>
      <c r="P8" s="22">
        <f t="shared" si="7"/>
        <v>1</v>
      </c>
      <c r="Q8" s="5">
        <f t="shared" si="5"/>
        <v>2.5</v>
      </c>
      <c r="R8" s="5">
        <f t="shared" si="6"/>
        <v>6.25</v>
      </c>
    </row>
    <row r="9" spans="1:18" x14ac:dyDescent="0.35">
      <c r="A9" s="10" t="s">
        <v>36</v>
      </c>
      <c r="B9" s="4">
        <f>SUM(B4:B8)</f>
        <v>89</v>
      </c>
      <c r="C9" s="4">
        <f>SUM(C4:C8)</f>
        <v>101</v>
      </c>
      <c r="G9" s="15" t="s">
        <v>44</v>
      </c>
      <c r="H9" s="19">
        <f>SUM(H4:H8)</f>
        <v>3.2</v>
      </c>
      <c r="M9" s="3" t="s">
        <v>50</v>
      </c>
      <c r="N9" s="3" t="s">
        <v>50</v>
      </c>
      <c r="O9" s="23" t="s">
        <v>66</v>
      </c>
      <c r="P9" s="23"/>
      <c r="Q9" s="24"/>
      <c r="R9" s="9">
        <f>SUM(R4:R8)</f>
        <v>12.5</v>
      </c>
    </row>
    <row r="10" spans="1:18" x14ac:dyDescent="0.35">
      <c r="A10" s="11" t="s">
        <v>34</v>
      </c>
      <c r="B10" s="20">
        <f>B9/B2</f>
        <v>17.8</v>
      </c>
      <c r="C10" s="20">
        <f>C9/C2</f>
        <v>20.2</v>
      </c>
      <c r="E10" s="3" t="s">
        <v>45</v>
      </c>
      <c r="F10" s="17">
        <f>SUM(F4:F8)</f>
        <v>8.7999999999999989</v>
      </c>
      <c r="G10" s="17">
        <f>SUM(G4:G8)</f>
        <v>10.8</v>
      </c>
      <c r="H10" s="3" t="s">
        <v>51</v>
      </c>
      <c r="M10" s="25" t="s">
        <v>65</v>
      </c>
      <c r="N10" s="25"/>
      <c r="O10" s="25"/>
      <c r="P10" s="27">
        <f>CORREL(O4:O8,P4:P8)</f>
        <v>0.34210526315789475</v>
      </c>
      <c r="Q10" s="26" t="s">
        <v>69</v>
      </c>
      <c r="R10" s="26" t="s">
        <v>51</v>
      </c>
    </row>
    <row r="11" spans="1:18" x14ac:dyDescent="0.35">
      <c r="A11" s="10" t="s">
        <v>35</v>
      </c>
      <c r="B11" s="21">
        <f>AVERAGE(B4:B8)</f>
        <v>17.8</v>
      </c>
      <c r="C11" s="21">
        <f>AVERAGE(C4:C8)</f>
        <v>20.2</v>
      </c>
      <c r="E11" s="3" t="s">
        <v>46</v>
      </c>
      <c r="F11" s="18">
        <f>F10/(B2-1)</f>
        <v>2.1999999999999997</v>
      </c>
      <c r="G11" s="18">
        <f>G10/(C2-1)</f>
        <v>2.7</v>
      </c>
      <c r="H11" s="3" t="s">
        <v>51</v>
      </c>
      <c r="Q11" s="26" t="s">
        <v>12</v>
      </c>
      <c r="R11" s="16">
        <f>1-(6*R9)/(B2*(B2^2-1))</f>
        <v>0.375</v>
      </c>
    </row>
    <row r="12" spans="1:18" x14ac:dyDescent="0.35">
      <c r="E12" s="3" t="s">
        <v>47</v>
      </c>
      <c r="F12" s="18">
        <f>_xlfn.VAR.S(B4:B8)</f>
        <v>2.1999999999999997</v>
      </c>
      <c r="G12" s="18">
        <f>_xlfn.VAR.S(C4:C8)</f>
        <v>2.7</v>
      </c>
      <c r="H12" s="3" t="s">
        <v>51</v>
      </c>
      <c r="K12" s="24" t="s">
        <v>67</v>
      </c>
      <c r="L12" s="24"/>
      <c r="N12" s="24" t="s">
        <v>68</v>
      </c>
      <c r="O12" s="24"/>
    </row>
    <row r="13" spans="1:18" x14ac:dyDescent="0.35">
      <c r="E13" s="3" t="s">
        <v>48</v>
      </c>
      <c r="F13" s="3" t="s">
        <v>50</v>
      </c>
      <c r="G13" s="3" t="s">
        <v>50</v>
      </c>
      <c r="H13" s="17">
        <f>H9/(B2-1)</f>
        <v>0.8</v>
      </c>
      <c r="K13" s="5">
        <v>16</v>
      </c>
      <c r="L13" s="5">
        <v>1</v>
      </c>
      <c r="N13" s="4">
        <v>18</v>
      </c>
      <c r="O13" s="4">
        <v>1</v>
      </c>
    </row>
    <row r="14" spans="1:18" x14ac:dyDescent="0.35">
      <c r="E14" s="3" t="s">
        <v>49</v>
      </c>
      <c r="F14" s="3" t="s">
        <v>50</v>
      </c>
      <c r="G14" s="3" t="s">
        <v>50</v>
      </c>
      <c r="H14" s="17">
        <f>_xlfn.COVARIANCE.S(B4:B8,C4:C8)</f>
        <v>0.8</v>
      </c>
      <c r="K14" s="4">
        <v>17</v>
      </c>
      <c r="L14" s="4">
        <v>2</v>
      </c>
      <c r="N14" s="5">
        <v>19</v>
      </c>
      <c r="O14" s="5">
        <v>2</v>
      </c>
    </row>
    <row r="15" spans="1:18" x14ac:dyDescent="0.35">
      <c r="E15" s="3" t="s">
        <v>52</v>
      </c>
      <c r="F15" s="16">
        <f>(H13)/(SQRT(F11*G11))</f>
        <v>0.32824397594488736</v>
      </c>
      <c r="K15" s="5">
        <v>18</v>
      </c>
      <c r="L15" s="5">
        <v>3.5</v>
      </c>
      <c r="N15" s="4">
        <v>21</v>
      </c>
      <c r="O15" s="4">
        <v>3.5</v>
      </c>
    </row>
    <row r="16" spans="1:18" x14ac:dyDescent="0.35">
      <c r="E16" s="3" t="s">
        <v>53</v>
      </c>
      <c r="F16" s="16">
        <f>CORREL(B4:B8,C4:C8)</f>
        <v>0.3282439759448873</v>
      </c>
      <c r="K16" s="4">
        <v>18</v>
      </c>
      <c r="L16" s="4">
        <v>3.5</v>
      </c>
      <c r="N16" s="5">
        <v>21</v>
      </c>
      <c r="O16" s="5">
        <v>3.5</v>
      </c>
    </row>
    <row r="17" spans="11:15" x14ac:dyDescent="0.35">
      <c r="K17" s="5">
        <v>20</v>
      </c>
      <c r="L17" s="5">
        <v>5</v>
      </c>
      <c r="N17" s="4">
        <v>22</v>
      </c>
      <c r="O17" s="4">
        <v>5</v>
      </c>
    </row>
  </sheetData>
  <sortState xmlns:xlrd2="http://schemas.microsoft.com/office/spreadsheetml/2017/richdata2" ref="L5:L8">
    <sortCondition ref="L5:L8"/>
  </sortState>
  <mergeCells count="4">
    <mergeCell ref="M10:O10"/>
    <mergeCell ref="O9:Q9"/>
    <mergeCell ref="K12:L12"/>
    <mergeCell ref="N12:O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5BC87-1A88-475C-B2F2-EBD3DE97F847}">
  <dimension ref="A2:T64"/>
  <sheetViews>
    <sheetView zoomScaleNormal="100" workbookViewId="0">
      <selection activeCell="B2" sqref="B2"/>
    </sheetView>
  </sheetViews>
  <sheetFormatPr defaultRowHeight="14.5" x14ac:dyDescent="0.35"/>
  <cols>
    <col min="1" max="1" width="9.26953125" bestFit="1" customWidth="1"/>
    <col min="2" max="2" width="4.1796875" bestFit="1" customWidth="1"/>
    <col min="3" max="3" width="3.81640625" bestFit="1" customWidth="1"/>
    <col min="4" max="4" width="10.54296875" customWidth="1"/>
    <col min="5" max="5" width="17.54296875" customWidth="1"/>
    <col min="6" max="6" width="15.1796875" customWidth="1"/>
    <col min="7" max="7" width="17.54296875" customWidth="1"/>
    <col min="8" max="8" width="12.1796875" bestFit="1" customWidth="1"/>
    <col min="9" max="9" width="14.1796875" customWidth="1"/>
    <col min="10" max="10" width="14.36328125" customWidth="1"/>
    <col min="11" max="11" width="12.453125" bestFit="1" customWidth="1"/>
    <col min="12" max="12" width="10.54296875" customWidth="1"/>
    <col min="13" max="13" width="9.81640625" customWidth="1"/>
    <col min="14" max="14" width="10.6328125" bestFit="1" customWidth="1"/>
    <col min="17" max="17" width="9.90625" customWidth="1"/>
    <col min="18" max="18" width="9.26953125" bestFit="1" customWidth="1"/>
    <col min="19" max="19" width="9.453125" bestFit="1" customWidth="1"/>
    <col min="20" max="20" width="9.1796875" bestFit="1" customWidth="1"/>
  </cols>
  <sheetData>
    <row r="2" spans="1:11" x14ac:dyDescent="0.35">
      <c r="B2" s="2" t="s">
        <v>0</v>
      </c>
      <c r="C2" s="2" t="s">
        <v>1</v>
      </c>
      <c r="F2" s="2" t="s">
        <v>70</v>
      </c>
      <c r="G2" s="2" t="s">
        <v>70</v>
      </c>
      <c r="H2" s="2" t="s">
        <v>69</v>
      </c>
      <c r="I2" s="2" t="s">
        <v>69</v>
      </c>
      <c r="J2" s="2" t="s">
        <v>69</v>
      </c>
      <c r="K2" s="2" t="s">
        <v>69</v>
      </c>
    </row>
    <row r="3" spans="1:11" x14ac:dyDescent="0.35">
      <c r="B3" s="22">
        <v>9</v>
      </c>
      <c r="C3" s="22">
        <v>42</v>
      </c>
      <c r="F3" s="2" t="s">
        <v>71</v>
      </c>
      <c r="G3" s="2" t="s">
        <v>72</v>
      </c>
      <c r="H3" s="2" t="s">
        <v>6</v>
      </c>
      <c r="I3" s="2" t="s">
        <v>7</v>
      </c>
      <c r="J3" s="2" t="s">
        <v>8</v>
      </c>
      <c r="K3" s="2" t="s">
        <v>9</v>
      </c>
    </row>
    <row r="4" spans="1:11" x14ac:dyDescent="0.35">
      <c r="B4" s="5">
        <v>16</v>
      </c>
      <c r="C4" s="5">
        <v>49</v>
      </c>
      <c r="F4" s="22">
        <v>9</v>
      </c>
      <c r="G4" s="22">
        <v>42</v>
      </c>
      <c r="H4" s="5">
        <v>2.5</v>
      </c>
      <c r="I4" s="5">
        <v>1</v>
      </c>
      <c r="J4" s="22">
        <f>VLOOKUP(B3,$F$17:$G$26,2,0)</f>
        <v>2.5</v>
      </c>
      <c r="K4" s="22">
        <f>VLOOKUP(C3,$I$17:$J$26,2,0)</f>
        <v>1</v>
      </c>
    </row>
    <row r="5" spans="1:11" x14ac:dyDescent="0.35">
      <c r="B5" s="22">
        <v>11</v>
      </c>
      <c r="C5" s="22">
        <v>46</v>
      </c>
      <c r="F5" s="5">
        <v>9</v>
      </c>
      <c r="G5" s="5">
        <v>44</v>
      </c>
      <c r="H5" s="22">
        <v>2.5</v>
      </c>
      <c r="I5" s="22">
        <v>2</v>
      </c>
      <c r="J5" s="5">
        <f>VLOOKUP(B4,$F$17:$G$26,2,0)</f>
        <v>10</v>
      </c>
      <c r="K5" s="5">
        <f>VLOOKUP(C4,$I$17:$J$26,2,0)</f>
        <v>6.5</v>
      </c>
    </row>
    <row r="6" spans="1:11" x14ac:dyDescent="0.35">
      <c r="B6" s="5">
        <v>12</v>
      </c>
      <c r="C6" s="5">
        <v>44</v>
      </c>
      <c r="F6" s="22">
        <v>9</v>
      </c>
      <c r="G6" s="22">
        <v>45</v>
      </c>
      <c r="H6" s="5">
        <v>2.5</v>
      </c>
      <c r="I6" s="5">
        <v>3</v>
      </c>
      <c r="J6" s="22">
        <f>VLOOKUP(B5,$F$17:$G$26,2,0)</f>
        <v>6.5</v>
      </c>
      <c r="K6" s="22">
        <f>VLOOKUP(C5,$I$17:$J$26,2,0)</f>
        <v>4</v>
      </c>
    </row>
    <row r="7" spans="1:11" x14ac:dyDescent="0.35">
      <c r="B7" s="22">
        <v>11</v>
      </c>
      <c r="C7" s="22">
        <v>49</v>
      </c>
      <c r="F7" s="5">
        <v>9</v>
      </c>
      <c r="G7" s="5">
        <v>46</v>
      </c>
      <c r="H7" s="22">
        <v>2.5</v>
      </c>
      <c r="I7" s="22">
        <v>4</v>
      </c>
      <c r="J7" s="5">
        <f>VLOOKUP(B6,$F$17:$G$26,2,0)</f>
        <v>8</v>
      </c>
      <c r="K7" s="5">
        <f>VLOOKUP(C6,$I$17:$J$26,2,0)</f>
        <v>2</v>
      </c>
    </row>
    <row r="8" spans="1:11" x14ac:dyDescent="0.35">
      <c r="B8" s="5">
        <v>9</v>
      </c>
      <c r="C8" s="5">
        <v>45</v>
      </c>
      <c r="F8" s="22">
        <v>10</v>
      </c>
      <c r="G8" s="22">
        <v>48</v>
      </c>
      <c r="H8" s="5">
        <v>5</v>
      </c>
      <c r="I8" s="5">
        <v>5</v>
      </c>
      <c r="J8" s="22">
        <f>VLOOKUP(B7,$F$17:$G$26,2,0)</f>
        <v>6.5</v>
      </c>
      <c r="K8" s="22">
        <f>VLOOKUP(C7,$I$17:$J$26,2,0)</f>
        <v>6.5</v>
      </c>
    </row>
    <row r="9" spans="1:11" x14ac:dyDescent="0.35">
      <c r="B9" s="22">
        <v>14</v>
      </c>
      <c r="C9" s="22">
        <v>50</v>
      </c>
      <c r="F9" s="5">
        <v>11</v>
      </c>
      <c r="G9" s="5">
        <v>49</v>
      </c>
      <c r="H9" s="22">
        <v>6.5</v>
      </c>
      <c r="I9" s="22">
        <v>6.5</v>
      </c>
      <c r="J9" s="5">
        <f>VLOOKUP(B8,$F$17:$G$26,2,0)</f>
        <v>2.5</v>
      </c>
      <c r="K9" s="5">
        <f>VLOOKUP(C8,$I$17:$J$26,2,0)</f>
        <v>3</v>
      </c>
    </row>
    <row r="10" spans="1:11" x14ac:dyDescent="0.35">
      <c r="B10" s="5">
        <v>9</v>
      </c>
      <c r="C10" s="5">
        <v>48</v>
      </c>
      <c r="F10" s="22">
        <v>11</v>
      </c>
      <c r="G10" s="22">
        <v>49</v>
      </c>
      <c r="H10" s="5">
        <v>6.5</v>
      </c>
      <c r="I10" s="5">
        <v>6.5</v>
      </c>
      <c r="J10" s="22">
        <f>VLOOKUP(B9,$F$17:$G$26,2,0)</f>
        <v>9</v>
      </c>
      <c r="K10" s="22">
        <f>VLOOKUP(C9,$I$17:$J$26,2,0)</f>
        <v>8</v>
      </c>
    </row>
    <row r="11" spans="1:11" x14ac:dyDescent="0.35">
      <c r="B11" s="22">
        <v>10</v>
      </c>
      <c r="C11" s="22">
        <v>52</v>
      </c>
      <c r="F11" s="5">
        <v>12</v>
      </c>
      <c r="G11" s="5">
        <v>50</v>
      </c>
      <c r="H11" s="22">
        <v>8</v>
      </c>
      <c r="I11" s="22">
        <v>8</v>
      </c>
      <c r="J11" s="5">
        <f>VLOOKUP(B10,$F$17:$G$26,2,0)</f>
        <v>2.5</v>
      </c>
      <c r="K11" s="5">
        <f>VLOOKUP(C10,$I$17:$J$26,2,0)</f>
        <v>5</v>
      </c>
    </row>
    <row r="12" spans="1:11" x14ac:dyDescent="0.35">
      <c r="B12" s="5">
        <v>9</v>
      </c>
      <c r="C12" s="5">
        <v>54</v>
      </c>
      <c r="F12" s="22">
        <v>14</v>
      </c>
      <c r="G12" s="22">
        <v>52</v>
      </c>
      <c r="H12" s="5">
        <v>9</v>
      </c>
      <c r="I12" s="5">
        <v>9</v>
      </c>
      <c r="J12" s="22">
        <f>VLOOKUP(B11,$F$17:$G$26,2,0)</f>
        <v>5</v>
      </c>
      <c r="K12" s="22">
        <f>VLOOKUP(C11,$I$17:$J$26,2,0)</f>
        <v>9</v>
      </c>
    </row>
    <row r="13" spans="1:11" x14ac:dyDescent="0.35">
      <c r="F13" s="5">
        <v>16</v>
      </c>
      <c r="G13" s="5">
        <v>54</v>
      </c>
      <c r="H13" s="22">
        <v>10</v>
      </c>
      <c r="I13" s="22">
        <v>10</v>
      </c>
      <c r="J13" s="5">
        <f>VLOOKUP(B12,$F$17:$G$26,2,0)</f>
        <v>2.5</v>
      </c>
      <c r="K13" s="5">
        <f>VLOOKUP(C12,$I$17:$J$26,2,0)</f>
        <v>10</v>
      </c>
    </row>
    <row r="15" spans="1:11" x14ac:dyDescent="0.35">
      <c r="A15" s="3" t="s">
        <v>92</v>
      </c>
      <c r="B15" s="2" t="s">
        <v>3</v>
      </c>
      <c r="C15" s="2" t="s">
        <v>5</v>
      </c>
      <c r="D15" s="16">
        <f>CORREL(B3:B12,C3:C12)</f>
        <v>0.11258094665607539</v>
      </c>
      <c r="F15" s="28" t="s">
        <v>73</v>
      </c>
      <c r="G15" s="28"/>
      <c r="I15" s="28" t="s">
        <v>73</v>
      </c>
      <c r="J15" s="28"/>
    </row>
    <row r="16" spans="1:11" x14ac:dyDescent="0.35">
      <c r="A16" s="3" t="s">
        <v>93</v>
      </c>
      <c r="B16" s="2" t="s">
        <v>3</v>
      </c>
      <c r="C16" s="2" t="s">
        <v>15</v>
      </c>
      <c r="D16" s="16">
        <f>CORREL(J4:J13,K4:K13)</f>
        <v>0.14157945417157933</v>
      </c>
      <c r="F16" s="2" t="s">
        <v>13</v>
      </c>
      <c r="G16" s="2" t="s">
        <v>6</v>
      </c>
      <c r="I16" s="2" t="s">
        <v>14</v>
      </c>
      <c r="J16" s="2" t="s">
        <v>7</v>
      </c>
    </row>
    <row r="17" spans="5:14" x14ac:dyDescent="0.35">
      <c r="F17" s="22">
        <v>9</v>
      </c>
      <c r="G17" s="22">
        <v>2.5</v>
      </c>
      <c r="I17" s="22">
        <v>42</v>
      </c>
      <c r="J17" s="22">
        <v>1</v>
      </c>
    </row>
    <row r="18" spans="5:14" x14ac:dyDescent="0.35">
      <c r="F18" s="5">
        <v>9</v>
      </c>
      <c r="G18" s="5">
        <v>2.5</v>
      </c>
      <c r="I18" s="5">
        <v>44</v>
      </c>
      <c r="J18" s="5">
        <v>2</v>
      </c>
    </row>
    <row r="19" spans="5:14" x14ac:dyDescent="0.35">
      <c r="F19" s="22">
        <v>9</v>
      </c>
      <c r="G19" s="22">
        <v>2.5</v>
      </c>
      <c r="I19" s="22">
        <v>45</v>
      </c>
      <c r="J19" s="22">
        <v>3</v>
      </c>
    </row>
    <row r="20" spans="5:14" x14ac:dyDescent="0.35">
      <c r="F20" s="5">
        <v>9</v>
      </c>
      <c r="G20" s="5">
        <v>2.5</v>
      </c>
      <c r="I20" s="5">
        <v>46</v>
      </c>
      <c r="J20" s="5">
        <v>4</v>
      </c>
    </row>
    <row r="21" spans="5:14" x14ac:dyDescent="0.35">
      <c r="F21" s="22">
        <v>10</v>
      </c>
      <c r="G21" s="22">
        <v>5</v>
      </c>
      <c r="I21" s="22">
        <v>48</v>
      </c>
      <c r="J21" s="22">
        <v>5</v>
      </c>
    </row>
    <row r="22" spans="5:14" x14ac:dyDescent="0.35">
      <c r="F22" s="5">
        <v>11</v>
      </c>
      <c r="G22" s="5">
        <v>6.5</v>
      </c>
      <c r="I22" s="5">
        <v>49</v>
      </c>
      <c r="J22" s="5">
        <v>6.5</v>
      </c>
    </row>
    <row r="23" spans="5:14" x14ac:dyDescent="0.35">
      <c r="F23" s="22">
        <v>11</v>
      </c>
      <c r="G23" s="22">
        <v>6.5</v>
      </c>
      <c r="I23" s="22">
        <v>49</v>
      </c>
      <c r="J23" s="22">
        <v>6.5</v>
      </c>
    </row>
    <row r="24" spans="5:14" x14ac:dyDescent="0.35">
      <c r="F24" s="5">
        <v>12</v>
      </c>
      <c r="G24" s="5">
        <v>8</v>
      </c>
      <c r="I24" s="5">
        <v>50</v>
      </c>
      <c r="J24" s="5">
        <v>8</v>
      </c>
    </row>
    <row r="25" spans="5:14" x14ac:dyDescent="0.35">
      <c r="F25" s="22">
        <v>14</v>
      </c>
      <c r="G25" s="22">
        <v>9</v>
      </c>
      <c r="I25" s="22">
        <v>52</v>
      </c>
      <c r="J25" s="22">
        <v>9</v>
      </c>
    </row>
    <row r="26" spans="5:14" x14ac:dyDescent="0.35">
      <c r="F26" s="5">
        <v>16</v>
      </c>
      <c r="G26" s="5">
        <v>10</v>
      </c>
      <c r="I26" s="5">
        <v>54</v>
      </c>
      <c r="J26" s="5">
        <v>10</v>
      </c>
    </row>
    <row r="28" spans="5:14" x14ac:dyDescent="0.35">
      <c r="E28" s="28" t="s">
        <v>74</v>
      </c>
      <c r="F28" s="28"/>
      <c r="G28" s="28"/>
      <c r="I28" s="28" t="s">
        <v>75</v>
      </c>
      <c r="J28" s="28"/>
      <c r="K28" s="28"/>
    </row>
    <row r="29" spans="5:14" x14ac:dyDescent="0.35">
      <c r="E29" s="2" t="s">
        <v>16</v>
      </c>
      <c r="F29" s="2" t="s">
        <v>8</v>
      </c>
      <c r="G29" s="2" t="s">
        <v>9</v>
      </c>
      <c r="I29" s="2" t="s">
        <v>16</v>
      </c>
      <c r="J29" s="2" t="s">
        <v>8</v>
      </c>
      <c r="K29" s="2" t="s">
        <v>9</v>
      </c>
      <c r="N29" s="1"/>
    </row>
    <row r="30" spans="5:14" x14ac:dyDescent="0.35">
      <c r="E30" s="2">
        <v>1</v>
      </c>
      <c r="F30" s="22">
        <v>2.5</v>
      </c>
      <c r="G30" s="22">
        <v>1</v>
      </c>
      <c r="I30" s="2">
        <v>1</v>
      </c>
      <c r="J30" s="22">
        <v>2.5</v>
      </c>
      <c r="K30" s="22">
        <v>1</v>
      </c>
    </row>
    <row r="31" spans="5:14" x14ac:dyDescent="0.35">
      <c r="E31" s="2">
        <v>2</v>
      </c>
      <c r="F31" s="5">
        <v>10</v>
      </c>
      <c r="G31" s="5">
        <v>6.5</v>
      </c>
      <c r="I31" s="2">
        <v>6</v>
      </c>
      <c r="J31" s="5">
        <v>2.5</v>
      </c>
      <c r="K31" s="5">
        <v>3</v>
      </c>
    </row>
    <row r="32" spans="5:14" x14ac:dyDescent="0.35">
      <c r="E32" s="2">
        <v>3</v>
      </c>
      <c r="F32" s="22">
        <v>6.5</v>
      </c>
      <c r="G32" s="22">
        <v>4</v>
      </c>
      <c r="I32" s="2">
        <v>8</v>
      </c>
      <c r="J32" s="22">
        <v>2.5</v>
      </c>
      <c r="K32" s="22">
        <v>5</v>
      </c>
    </row>
    <row r="33" spans="2:20" x14ac:dyDescent="0.35">
      <c r="E33" s="2">
        <v>4</v>
      </c>
      <c r="F33" s="5">
        <v>8</v>
      </c>
      <c r="G33" s="5">
        <v>2</v>
      </c>
      <c r="I33" s="2">
        <v>10</v>
      </c>
      <c r="J33" s="5">
        <v>2.5</v>
      </c>
      <c r="K33" s="5">
        <v>10</v>
      </c>
    </row>
    <row r="34" spans="2:20" x14ac:dyDescent="0.35">
      <c r="E34" s="2">
        <v>5</v>
      </c>
      <c r="F34" s="22">
        <v>6.5</v>
      </c>
      <c r="G34" s="22">
        <v>6.5</v>
      </c>
      <c r="I34" s="2">
        <v>9</v>
      </c>
      <c r="J34" s="22">
        <v>5</v>
      </c>
      <c r="K34" s="22">
        <v>9</v>
      </c>
    </row>
    <row r="35" spans="2:20" x14ac:dyDescent="0.35">
      <c r="E35" s="2">
        <v>6</v>
      </c>
      <c r="F35" s="5">
        <v>2.5</v>
      </c>
      <c r="G35" s="5">
        <v>3</v>
      </c>
      <c r="I35" s="2">
        <v>3</v>
      </c>
      <c r="J35" s="5">
        <v>6.5</v>
      </c>
      <c r="K35" s="5">
        <v>4</v>
      </c>
    </row>
    <row r="36" spans="2:20" x14ac:dyDescent="0.35">
      <c r="E36" s="2">
        <v>7</v>
      </c>
      <c r="F36" s="22">
        <v>9</v>
      </c>
      <c r="G36" s="22">
        <v>8</v>
      </c>
      <c r="I36" s="2">
        <v>5</v>
      </c>
      <c r="J36" s="22">
        <v>6.5</v>
      </c>
      <c r="K36" s="22">
        <v>6.5</v>
      </c>
    </row>
    <row r="37" spans="2:20" x14ac:dyDescent="0.35">
      <c r="E37" s="2">
        <v>8</v>
      </c>
      <c r="F37" s="5">
        <v>2.5</v>
      </c>
      <c r="G37" s="5">
        <v>5</v>
      </c>
      <c r="I37" s="2">
        <v>4</v>
      </c>
      <c r="J37" s="5">
        <v>8</v>
      </c>
      <c r="K37" s="5">
        <v>2</v>
      </c>
    </row>
    <row r="38" spans="2:20" x14ac:dyDescent="0.35">
      <c r="E38" s="2">
        <v>9</v>
      </c>
      <c r="F38" s="22">
        <v>5</v>
      </c>
      <c r="G38" s="22">
        <v>9</v>
      </c>
      <c r="I38" s="2">
        <v>7</v>
      </c>
      <c r="J38" s="22">
        <v>9</v>
      </c>
      <c r="K38" s="22">
        <v>8</v>
      </c>
    </row>
    <row r="39" spans="2:20" x14ac:dyDescent="0.35">
      <c r="E39" s="2">
        <v>10</v>
      </c>
      <c r="F39" s="5">
        <v>2.5</v>
      </c>
      <c r="G39" s="5">
        <v>10</v>
      </c>
      <c r="I39" s="2">
        <v>2</v>
      </c>
      <c r="J39" s="5">
        <v>10</v>
      </c>
      <c r="K39" s="5">
        <v>6.5</v>
      </c>
    </row>
    <row r="41" spans="2:20" x14ac:dyDescent="0.35">
      <c r="G41" s="2" t="s">
        <v>16</v>
      </c>
      <c r="H41" s="2">
        <v>1</v>
      </c>
      <c r="I41" s="2">
        <v>6</v>
      </c>
      <c r="J41" s="2">
        <v>8</v>
      </c>
      <c r="K41" s="2">
        <v>10</v>
      </c>
      <c r="L41" s="2">
        <v>9</v>
      </c>
      <c r="M41" s="2">
        <v>3</v>
      </c>
      <c r="N41" s="2">
        <v>5</v>
      </c>
      <c r="O41" s="2">
        <v>4</v>
      </c>
      <c r="P41" s="2">
        <v>7</v>
      </c>
      <c r="Q41" s="2">
        <v>2</v>
      </c>
    </row>
    <row r="42" spans="2:20" x14ac:dyDescent="0.35">
      <c r="G42" s="2" t="s">
        <v>8</v>
      </c>
      <c r="H42" s="22">
        <v>2.5</v>
      </c>
      <c r="I42" s="5">
        <v>2.5</v>
      </c>
      <c r="J42" s="22">
        <v>2.5</v>
      </c>
      <c r="K42" s="5">
        <v>2.5</v>
      </c>
      <c r="L42" s="22">
        <v>5</v>
      </c>
      <c r="M42" s="5">
        <v>6.5</v>
      </c>
      <c r="N42" s="22">
        <v>6.5</v>
      </c>
      <c r="O42" s="5">
        <v>8</v>
      </c>
      <c r="P42" s="22">
        <v>9</v>
      </c>
      <c r="Q42" s="5">
        <v>10</v>
      </c>
    </row>
    <row r="43" spans="2:20" x14ac:dyDescent="0.35">
      <c r="B43" s="3" t="s">
        <v>19</v>
      </c>
      <c r="C43" s="5">
        <v>1</v>
      </c>
      <c r="D43" s="5">
        <v>2</v>
      </c>
      <c r="E43" s="5" t="s">
        <v>76</v>
      </c>
      <c r="G43" s="2" t="s">
        <v>9</v>
      </c>
      <c r="H43" s="22">
        <v>1</v>
      </c>
      <c r="I43" s="5">
        <v>3</v>
      </c>
      <c r="J43" s="22">
        <v>5</v>
      </c>
      <c r="K43" s="5">
        <v>10</v>
      </c>
      <c r="L43" s="22">
        <v>9</v>
      </c>
      <c r="M43" s="5">
        <v>4</v>
      </c>
      <c r="N43" s="22">
        <v>6.5</v>
      </c>
      <c r="O43" s="5">
        <v>2</v>
      </c>
      <c r="P43" s="22">
        <v>8</v>
      </c>
      <c r="Q43" s="30">
        <v>6.5</v>
      </c>
      <c r="R43" s="1"/>
    </row>
    <row r="44" spans="2:20" x14ac:dyDescent="0.35">
      <c r="B44" s="3" t="s">
        <v>51</v>
      </c>
      <c r="C44" s="4">
        <v>6</v>
      </c>
      <c r="D44" s="4">
        <v>1</v>
      </c>
      <c r="E44" s="4" t="s">
        <v>77</v>
      </c>
      <c r="G44" s="2" t="s">
        <v>16</v>
      </c>
      <c r="H44" s="2" t="s">
        <v>69</v>
      </c>
      <c r="I44" s="2" t="s">
        <v>69</v>
      </c>
      <c r="J44" s="2" t="s">
        <v>69</v>
      </c>
      <c r="K44" s="2" t="s">
        <v>69</v>
      </c>
      <c r="L44" s="2" t="s">
        <v>69</v>
      </c>
      <c r="M44" s="2" t="s">
        <v>69</v>
      </c>
      <c r="N44" s="2" t="s">
        <v>69</v>
      </c>
      <c r="O44" s="2" t="s">
        <v>69</v>
      </c>
      <c r="P44" s="2" t="s">
        <v>69</v>
      </c>
      <c r="Q44" s="2" t="s">
        <v>69</v>
      </c>
      <c r="R44" s="2" t="s">
        <v>82</v>
      </c>
      <c r="S44" s="2" t="s">
        <v>83</v>
      </c>
      <c r="T44" s="2" t="s">
        <v>84</v>
      </c>
    </row>
    <row r="45" spans="2:20" x14ac:dyDescent="0.35">
      <c r="G45" s="2">
        <v>1</v>
      </c>
      <c r="H45" s="29" t="s">
        <v>17</v>
      </c>
      <c r="I45" s="31">
        <v>0</v>
      </c>
      <c r="J45" s="31">
        <v>0</v>
      </c>
      <c r="K45" s="31">
        <v>0</v>
      </c>
      <c r="L45" s="32" t="s">
        <v>18</v>
      </c>
      <c r="M45" s="32" t="s">
        <v>18</v>
      </c>
      <c r="N45" s="32" t="s">
        <v>18</v>
      </c>
      <c r="O45" s="32" t="s">
        <v>18</v>
      </c>
      <c r="P45" s="32" t="s">
        <v>18</v>
      </c>
      <c r="Q45" s="32" t="s">
        <v>18</v>
      </c>
      <c r="R45" s="22">
        <v>6</v>
      </c>
      <c r="S45" s="22"/>
      <c r="T45" s="22">
        <v>3</v>
      </c>
    </row>
    <row r="46" spans="2:20" x14ac:dyDescent="0.35">
      <c r="B46" s="3" t="s">
        <v>18</v>
      </c>
      <c r="C46" s="5">
        <v>2</v>
      </c>
      <c r="D46" s="5">
        <v>4</v>
      </c>
      <c r="E46" s="5" t="s">
        <v>78</v>
      </c>
      <c r="G46" s="2">
        <v>6</v>
      </c>
      <c r="H46" s="5" t="s">
        <v>0</v>
      </c>
      <c r="I46" s="29" t="s">
        <v>17</v>
      </c>
      <c r="J46" s="31">
        <v>0</v>
      </c>
      <c r="K46" s="31">
        <v>0</v>
      </c>
      <c r="L46" s="32" t="s">
        <v>18</v>
      </c>
      <c r="M46" s="32" t="s">
        <v>18</v>
      </c>
      <c r="N46" s="32" t="s">
        <v>18</v>
      </c>
      <c r="O46" s="33" t="s">
        <v>19</v>
      </c>
      <c r="P46" s="32" t="s">
        <v>18</v>
      </c>
      <c r="Q46" s="32" t="s">
        <v>18</v>
      </c>
      <c r="R46" s="22">
        <v>5</v>
      </c>
      <c r="S46" s="22">
        <v>1</v>
      </c>
      <c r="T46" s="22">
        <v>2</v>
      </c>
    </row>
    <row r="47" spans="2:20" x14ac:dyDescent="0.35">
      <c r="B47" s="3" t="s">
        <v>51</v>
      </c>
      <c r="C47" s="4">
        <v>1</v>
      </c>
      <c r="D47" s="4">
        <v>3</v>
      </c>
      <c r="E47" s="4" t="s">
        <v>79</v>
      </c>
      <c r="G47" s="2">
        <v>8</v>
      </c>
      <c r="H47" s="5" t="s">
        <v>0</v>
      </c>
      <c r="I47" s="5" t="s">
        <v>0</v>
      </c>
      <c r="J47" s="29" t="s">
        <v>17</v>
      </c>
      <c r="K47" s="31">
        <v>0</v>
      </c>
      <c r="L47" s="32" t="s">
        <v>18</v>
      </c>
      <c r="M47" s="33" t="s">
        <v>19</v>
      </c>
      <c r="N47" s="32" t="s">
        <v>18</v>
      </c>
      <c r="O47" s="33" t="s">
        <v>19</v>
      </c>
      <c r="P47" s="32" t="s">
        <v>18</v>
      </c>
      <c r="Q47" s="32" t="s">
        <v>18</v>
      </c>
      <c r="R47" s="22">
        <v>4</v>
      </c>
      <c r="S47" s="22">
        <v>2</v>
      </c>
      <c r="T47" s="22">
        <v>1</v>
      </c>
    </row>
    <row r="48" spans="2:20" x14ac:dyDescent="0.35">
      <c r="G48" s="2">
        <v>10</v>
      </c>
      <c r="H48" s="5" t="s">
        <v>0</v>
      </c>
      <c r="I48" s="5" t="s">
        <v>0</v>
      </c>
      <c r="J48" s="5" t="s">
        <v>0</v>
      </c>
      <c r="K48" s="29" t="s">
        <v>17</v>
      </c>
      <c r="L48" s="33" t="s">
        <v>19</v>
      </c>
      <c r="M48" s="33" t="s">
        <v>19</v>
      </c>
      <c r="N48" s="33" t="s">
        <v>19</v>
      </c>
      <c r="O48" s="33" t="s">
        <v>19</v>
      </c>
      <c r="P48" s="33" t="s">
        <v>19</v>
      </c>
      <c r="Q48" s="33" t="s">
        <v>19</v>
      </c>
      <c r="R48" s="22"/>
      <c r="S48" s="22">
        <v>6</v>
      </c>
      <c r="T48" s="22"/>
    </row>
    <row r="49" spans="2:20" x14ac:dyDescent="0.35">
      <c r="B49" s="3">
        <v>0</v>
      </c>
      <c r="C49" s="5">
        <v>3</v>
      </c>
      <c r="D49" s="5">
        <v>5</v>
      </c>
      <c r="E49" s="5" t="s">
        <v>80</v>
      </c>
      <c r="G49" s="2">
        <v>9</v>
      </c>
      <c r="H49" s="5" t="s">
        <v>0</v>
      </c>
      <c r="I49" s="5" t="s">
        <v>0</v>
      </c>
      <c r="J49" s="5" t="s">
        <v>0</v>
      </c>
      <c r="K49" s="5" t="s">
        <v>0</v>
      </c>
      <c r="L49" s="29" t="s">
        <v>17</v>
      </c>
      <c r="M49" s="33" t="s">
        <v>19</v>
      </c>
      <c r="N49" s="33" t="s">
        <v>19</v>
      </c>
      <c r="O49" s="33" t="s">
        <v>19</v>
      </c>
      <c r="P49" s="33" t="s">
        <v>19</v>
      </c>
      <c r="Q49" s="33" t="s">
        <v>19</v>
      </c>
      <c r="R49" s="22"/>
      <c r="S49" s="22">
        <v>5</v>
      </c>
      <c r="T49" s="22"/>
    </row>
    <row r="50" spans="2:20" x14ac:dyDescent="0.35">
      <c r="B50" s="3" t="s">
        <v>51</v>
      </c>
      <c r="C50" s="4">
        <v>4</v>
      </c>
      <c r="D50" s="4">
        <v>4</v>
      </c>
      <c r="E50" s="4" t="s">
        <v>81</v>
      </c>
      <c r="G50" s="2">
        <v>3</v>
      </c>
      <c r="H50" s="5" t="s">
        <v>0</v>
      </c>
      <c r="I50" s="5" t="s">
        <v>0</v>
      </c>
      <c r="J50" s="5" t="s">
        <v>0</v>
      </c>
      <c r="K50" s="5" t="s">
        <v>0</v>
      </c>
      <c r="L50" s="5" t="s">
        <v>0</v>
      </c>
      <c r="M50" s="29" t="s">
        <v>17</v>
      </c>
      <c r="N50" s="31">
        <v>0</v>
      </c>
      <c r="O50" s="33" t="s">
        <v>19</v>
      </c>
      <c r="P50" s="32" t="s">
        <v>18</v>
      </c>
      <c r="Q50" s="32" t="s">
        <v>18</v>
      </c>
      <c r="R50" s="22">
        <v>2</v>
      </c>
      <c r="S50" s="22">
        <v>1</v>
      </c>
      <c r="T50" s="22">
        <v>1</v>
      </c>
    </row>
    <row r="51" spans="2:20" x14ac:dyDescent="0.35">
      <c r="G51" s="2">
        <v>5</v>
      </c>
      <c r="H51" s="5" t="s">
        <v>0</v>
      </c>
      <c r="I51" s="5" t="s">
        <v>0</v>
      </c>
      <c r="J51" s="5" t="s">
        <v>0</v>
      </c>
      <c r="K51" s="5" t="s">
        <v>0</v>
      </c>
      <c r="L51" s="5" t="s">
        <v>0</v>
      </c>
      <c r="M51" s="5" t="s">
        <v>0</v>
      </c>
      <c r="N51" s="29" t="s">
        <v>17</v>
      </c>
      <c r="O51" s="33" t="s">
        <v>19</v>
      </c>
      <c r="P51" s="32" t="s">
        <v>18</v>
      </c>
      <c r="Q51" s="31">
        <v>0</v>
      </c>
      <c r="R51" s="22">
        <v>1</v>
      </c>
      <c r="S51" s="22">
        <v>1</v>
      </c>
      <c r="T51" s="22">
        <v>1</v>
      </c>
    </row>
    <row r="52" spans="2:20" x14ac:dyDescent="0.35">
      <c r="G52" s="2">
        <v>4</v>
      </c>
      <c r="H52" s="5" t="s">
        <v>0</v>
      </c>
      <c r="I52" s="5" t="s">
        <v>0</v>
      </c>
      <c r="J52" s="5" t="s">
        <v>0</v>
      </c>
      <c r="K52" s="5" t="s">
        <v>0</v>
      </c>
      <c r="L52" s="5" t="s">
        <v>0</v>
      </c>
      <c r="M52" s="5" t="s">
        <v>0</v>
      </c>
      <c r="N52" s="5" t="s">
        <v>0</v>
      </c>
      <c r="O52" s="29" t="s">
        <v>17</v>
      </c>
      <c r="P52" s="32" t="s">
        <v>18</v>
      </c>
      <c r="Q52" s="32" t="s">
        <v>18</v>
      </c>
      <c r="R52" s="22">
        <v>2</v>
      </c>
      <c r="S52" s="22"/>
      <c r="T52" s="22"/>
    </row>
    <row r="53" spans="2:20" x14ac:dyDescent="0.35">
      <c r="G53" s="2">
        <v>7</v>
      </c>
      <c r="H53" s="5" t="s">
        <v>0</v>
      </c>
      <c r="I53" s="5" t="s">
        <v>0</v>
      </c>
      <c r="J53" s="5" t="s">
        <v>0</v>
      </c>
      <c r="K53" s="5" t="s">
        <v>0</v>
      </c>
      <c r="L53" s="5" t="s">
        <v>0</v>
      </c>
      <c r="M53" s="5" t="s">
        <v>0</v>
      </c>
      <c r="N53" s="5" t="s">
        <v>0</v>
      </c>
      <c r="O53" s="5" t="s">
        <v>0</v>
      </c>
      <c r="P53" s="29" t="s">
        <v>17</v>
      </c>
      <c r="Q53" s="33" t="s">
        <v>19</v>
      </c>
      <c r="R53" s="22"/>
      <c r="S53" s="22">
        <v>1</v>
      </c>
      <c r="T53" s="22"/>
    </row>
    <row r="54" spans="2:20" x14ac:dyDescent="0.35">
      <c r="G54" s="2">
        <v>2</v>
      </c>
      <c r="H54" s="5" t="s">
        <v>0</v>
      </c>
      <c r="I54" s="5" t="s">
        <v>0</v>
      </c>
      <c r="J54" s="5" t="s">
        <v>0</v>
      </c>
      <c r="K54" s="5" t="s">
        <v>0</v>
      </c>
      <c r="L54" s="5" t="s">
        <v>0</v>
      </c>
      <c r="M54" s="5" t="s">
        <v>0</v>
      </c>
      <c r="N54" s="5" t="s">
        <v>0</v>
      </c>
      <c r="O54" s="5" t="s">
        <v>0</v>
      </c>
      <c r="P54" s="5" t="s">
        <v>0</v>
      </c>
      <c r="Q54" s="29" t="s">
        <v>17</v>
      </c>
      <c r="R54" s="2" t="s">
        <v>85</v>
      </c>
      <c r="S54" s="2" t="s">
        <v>85</v>
      </c>
      <c r="T54" s="2" t="s">
        <v>85</v>
      </c>
    </row>
    <row r="55" spans="2:20" x14ac:dyDescent="0.35">
      <c r="Q55" s="2" t="s">
        <v>2</v>
      </c>
      <c r="R55" s="2">
        <f>SUM(R45:R53)</f>
        <v>20</v>
      </c>
      <c r="S55" s="2">
        <f>SUM(S45:S53)</f>
        <v>17</v>
      </c>
      <c r="T55" s="2">
        <f>SUM(T45:T53)</f>
        <v>8</v>
      </c>
    </row>
    <row r="57" spans="2:20" x14ac:dyDescent="0.35">
      <c r="G57" s="2" t="s">
        <v>91</v>
      </c>
      <c r="H57" s="22" t="s">
        <v>86</v>
      </c>
      <c r="J57" s="2" t="s">
        <v>89</v>
      </c>
      <c r="K57" s="22">
        <v>6</v>
      </c>
    </row>
    <row r="58" spans="2:20" x14ac:dyDescent="0.35">
      <c r="G58" s="2" t="s">
        <v>94</v>
      </c>
      <c r="H58" s="5" t="s">
        <v>87</v>
      </c>
      <c r="J58" s="2" t="s">
        <v>88</v>
      </c>
      <c r="K58" s="5">
        <v>2</v>
      </c>
    </row>
    <row r="59" spans="2:20" x14ac:dyDescent="0.35">
      <c r="G59" s="2" t="s">
        <v>24</v>
      </c>
      <c r="H59" s="22">
        <f>SUM(10*(K59/2))</f>
        <v>40</v>
      </c>
      <c r="J59" s="2" t="s">
        <v>90</v>
      </c>
      <c r="K59" s="22">
        <f>SUM(K57:K58)</f>
        <v>8</v>
      </c>
    </row>
    <row r="61" spans="2:20" x14ac:dyDescent="0.35">
      <c r="G61" s="2" t="s">
        <v>25</v>
      </c>
      <c r="H61" s="22">
        <f>H59-(K57*(K57-1)/2)</f>
        <v>25</v>
      </c>
      <c r="J61" s="2" t="s">
        <v>20</v>
      </c>
      <c r="K61" s="22">
        <f>H59</f>
        <v>40</v>
      </c>
    </row>
    <row r="62" spans="2:20" x14ac:dyDescent="0.35">
      <c r="G62" s="2" t="s">
        <v>26</v>
      </c>
      <c r="H62" s="5">
        <f>H59-(K58*(K58-1)/2)</f>
        <v>39</v>
      </c>
      <c r="J62" s="2" t="s">
        <v>21</v>
      </c>
      <c r="K62" s="5">
        <f>H61</f>
        <v>25</v>
      </c>
    </row>
    <row r="63" spans="2:20" x14ac:dyDescent="0.35">
      <c r="J63" s="2" t="s">
        <v>22</v>
      </c>
      <c r="K63" s="22">
        <f>H62</f>
        <v>39</v>
      </c>
    </row>
    <row r="64" spans="2:20" x14ac:dyDescent="0.35">
      <c r="G64" s="3" t="s">
        <v>23</v>
      </c>
      <c r="H64" s="16">
        <f>(R55-S55)/SQRT(H61*H62)</f>
        <v>9.6076892283052287E-2</v>
      </c>
    </row>
  </sheetData>
  <sortState xmlns:xlrd2="http://schemas.microsoft.com/office/spreadsheetml/2017/richdata2" ref="I29:K39">
    <sortCondition ref="J29:J39"/>
  </sortState>
  <mergeCells count="4">
    <mergeCell ref="F15:G15"/>
    <mergeCell ref="I15:J15"/>
    <mergeCell ref="E28:G28"/>
    <mergeCell ref="I28:K28"/>
  </mergeCells>
  <pageMargins left="0.7" right="0.7" top="0.75" bottom="0.75" header="0.3" footer="0.3"/>
  <pageSetup paperSize="9"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(1-2)</vt:lpstr>
      <vt:lpstr>(2-2)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Łukasz Tworzydło</dc:creator>
  <cp:lastModifiedBy>Łukasz Tworzydło</cp:lastModifiedBy>
  <dcterms:created xsi:type="dcterms:W3CDTF">2022-04-13T09:58:09Z</dcterms:created>
  <dcterms:modified xsi:type="dcterms:W3CDTF">2022-04-14T00:52:54Z</dcterms:modified>
</cp:coreProperties>
</file>